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e57479fd0f49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e Dictionary" sheetId="1" r:id="Rf183f75ce23340b3"/>
    <x:sheet xmlns:r="http://schemas.openxmlformats.org/officeDocument/2006/relationships" name="Sources" sheetId="2" r:id="Ree21c6fc9bd84e2a"/>
    <x:sheet xmlns:r="http://schemas.openxmlformats.org/officeDocument/2006/relationships" name="Valuation Guide" sheetId="3" r:id="R19dd02511ad542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1"/>
      <x:color rgb="FFFFFFFF"/>
      <x:name val="Carlito"/>
    </x:font>
    <x:font>
      <x:sz val="10"/>
      <x:name val="Carlito"/>
    </x:font>
    <x:font>
      <x:b/>
      <x:sz val="14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34E4A"/>
      </x:patternFill>
    </x:fill>
    <x:fill>
      <x:patternFill patternType="solid">
        <x:fgColor rgb="FF14532D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cb9924d9f846cd" /><Relationship Type="http://schemas.openxmlformats.org/officeDocument/2006/relationships/theme" Target="/xl/theme/theme1.xml" Id="R9a6239c9794942dd" /><Relationship Type="http://schemas.openxmlformats.org/officeDocument/2006/relationships/sharedStrings" Target="/xl/sharedStrings.xml" Id="R1bf2383717c34e44" /><Relationship Type="http://schemas.openxmlformats.org/officeDocument/2006/relationships/worksheet" Target="/xl/worksheets/sheet1.xml" Id="Rf183f75ce23340b3" /><Relationship Type="http://schemas.openxmlformats.org/officeDocument/2006/relationships/worksheet" Target="/xl/worksheets/sheet2.xml" Id="Ree21c6fc9bd84e2a" /><Relationship Type="http://schemas.openxmlformats.org/officeDocument/2006/relationships/worksheet" Target="/xl/worksheets/sheet3.xml" Id="R19dd02511ad542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24" hidden="0" customWidth="1"/>
    <x:col min="4" max="4" width="22" hidden="0" customWidth="1"/>
    <x:col min="5" max="5" width="30" hidden="0" customWidth="1"/>
    <x:col min="6" max="6" width="38" hidden="0" customWidth="1"/>
    <x:col min="7" max="7" width="48" hidden="0" customWidth="1"/>
    <x:col min="8" max="8" width="34" hidden="0" customWidth="1"/>
    <x:col min="9" max="9" width="28" hidden="0" customWidth="1"/>
    <x:col min="10" max="10" width="32" hidden="0" customWidth="1"/>
    <x:col min="11" max="11" width="52" hidden="0" customWidth="1"/>
    <x:col min="12" max="12" width="20" hidden="0" customWidth="1"/>
  </x:cols>
  <x:sheetData>
    <x:row r="1" ht="28" customHeight="1">
      <x:c r="A1" s="25" t="str">
        <x:v>ID</x:v>
      </x:c>
      <x:c r="B1" s="25" t="str">
        <x:v>Category</x:v>
      </x:c>
      <x:c r="C1" s="25" t="str">
        <x:v>English Name</x:v>
      </x:c>
      <x:c r="D1" s="25" t="str">
        <x:v>Hindi Name</x:v>
      </x:c>
      <x:c r="E1" s="25" t="str">
        <x:v>Alias</x:v>
      </x:c>
      <x:c r="F1" s="25" t="str">
        <x:v>Known Varieties</x:v>
      </x:c>
      <x:c r="G1" s="25" t="str">
        <x:v>Growth Areas</x:v>
      </x:c>
      <x:c r="H1" s="25" t="str">
        <x:v>Wholesale Packing Type</x:v>
      </x:c>
      <x:c r="I1" s="25" t="str">
        <x:v>Common Wholesale Unit</x:v>
      </x:c>
      <x:c r="J1" s="25" t="str">
        <x:v>Typical Pack Size / Count</x:v>
      </x:c>
      <x:c r="K1" s="25" t="str">
        <x:v>How To Value / Normalize</x:v>
      </x:c>
      <x:c r="L1" s="25" t="str">
        <x:v>Standard Value Unit</x:v>
      </x:c>
    </x:row>
    <x:row r="2" ht="74" customHeight="1">
      <x:c r="A2" s="14" t="str">
        <x:v>P0001</x:v>
      </x:c>
      <x:c r="B2" s="14" t="str">
        <x:v>FOOD GRAINS / CEREALS</x:v>
      </x:c>
      <x:c r="C2" s="14" t="str">
        <x:v>Mushk Budji Rice</x:v>
      </x:c>
      <x:c r="D2" s="14" t="str">
        <x:v>मुश्क बुदजी चावल</x:v>
      </x:c>
      <x:c r="E2" s="14" t="str">
        <x:v>mushk budji chawal, mushk budji rice</x:v>
      </x:c>
      <x:c r="F2" s="14" t="str">
        <x:v>Known variety: Mushk Budji, a GI-linked aromatic short-grain Kashmir rice landrace</x:v>
      </x:c>
      <x:c r="G2" s="14" t="str">
        <x:v>Jammu &amp; Kashmir: Kashmir Valley aromatic-rice pockets, especially Anantnag, Budgam, Pulwama, Kulgam, Shopian and adjoining valley belts</x:v>
      </x:c>
      <x:c r="H2" s="31" t="str">
        <x:v>Jute/gunny bag or HDPE/PP woven sack</x:v>
      </x:c>
      <x:c r="I2" s="31" t="str">
        <x:v>₹/quintal, ₹/kg, or ₹/bag</x:v>
      </x:c>
      <x:c r="J2" s="31" t="str">
        <x:v>Usually 50 kg or 100 kg sacks; dal/flour often 25 kg or 50 kg bags</x:v>
      </x:c>
      <x:c r="K2" s="31" t="str">
        <x:v>Preferred normalized unit is ₹/quintal. If quote is per bag, use net bag weight: ₹/kg = bag price ÷ kg; ₹/quintal = ₹/kg × 100.</x:v>
      </x:c>
      <x:c r="L2" s="31" t="str">
        <x:v>₹/quintal</x:v>
      </x:c>
    </x:row>
    <x:row r="3" ht="74" customHeight="1">
      <x:c r="A3" s="14" t="str">
        <x:v>P0002</x:v>
      </x:c>
      <x:c r="B3" s="14" t="str">
        <x:v>FOOD GRAINS / CEREALS</x:v>
      </x:c>
      <x:c r="C3" s="14" t="str">
        <x:v>Amaranth Seed</x:v>
      </x:c>
      <x:c r="D3" s="14" t="str">
        <x:v>राजगीरा बीज / रामदाना</x:v>
      </x:c>
      <x:c r="E3" s="14" t="str">
        <x:v>rajgira beej / ramdana, amaranth, ramdana, rajgira</x:v>
      </x:c>
      <x:c r="F3" s="14" t="str">
        <x:v>Known varieties/types: Annapurna, Suvarna, Durga, PRA-1, local rajgira/ramdana landraces</x:v>
      </x:c>
      <x:c r="G3" s="14" t="str">
        <x:v>Uttarakhand: Chamoli, Pithoragarh, Almora; Himachal Pradesh hill pockets; Rajasthan: Udaipur, Banswara; Maharashtra: Pune, Nashik; Karnataka and Odisha tribal belts</x:v>
      </x:c>
      <x:c r="H3" s="31" t="str">
        <x:v>Jute/gunny bag or HDPE/PP woven sack</x:v>
      </x:c>
      <x:c r="I3" s="31" t="str">
        <x:v>₹/quintal, ₹/kg, or ₹/bag</x:v>
      </x:c>
      <x:c r="J3" s="31" t="str">
        <x:v>Usually 50 kg or 100 kg sacks; dal/flour often 25 kg or 50 kg bags</x:v>
      </x:c>
      <x:c r="K3" s="31" t="str">
        <x:v>Preferred normalized unit is ₹/quintal. If quote is per bag, use net bag weight: ₹/kg = bag price ÷ kg; ₹/quintal = ₹/kg × 100.</x:v>
      </x:c>
      <x:c r="L3" s="31" t="str">
        <x:v>₹/quintal</x:v>
      </x:c>
    </x:row>
    <x:row r="4" ht="74" customHeight="1">
      <x:c r="A4" s="14" t="str">
        <x:v>P0003</x:v>
      </x:c>
      <x:c r="B4" s="14" t="str">
        <x:v>FOOD GRAINS / CEREALS</x:v>
      </x:c>
      <x:c r="C4" s="14" t="str">
        <x:v>Arhar</x:v>
      </x:c>
      <x:c r="D4" s="14" t="str">
        <x:v>अरहर</x:v>
      </x:c>
      <x:c r="E4" s="14" t="str">
        <x:v>arhar, toor, tur, pigeon pea</x:v>
      </x:c>
      <x:c r="F4" s="14" t="str">
        <x:v>Known varieties/types: Maruti, Asha/ICPL 87119, BSMR-736, BDN series, ICPH hybrids, desi and hybrid pigeon pea</x:v>
      </x:c>
      <x:c r="G4" s="14" t="str">
        <x:v>Maharashtra: Latur, Nanded, Beed, Akola, Amravati; Karnataka: Kalaburagi/Gulbarga, Bidar, Vijayapura; Madhya Pradesh: Narsinghpur, Chhindwara, Sehore; Uttar Pradesh: Kanpur, Fatehpur, Prayagraj; Gujarat: Bharuch, Vadodara; Telangana: Mahabubnagar, Adilabad</x:v>
      </x:c>
      <x:c r="H4" s="31" t="str">
        <x:v>Jute/gunny bag or HDPE/PP woven sack</x:v>
      </x:c>
      <x:c r="I4" s="31" t="str">
        <x:v>₹/quintal, ₹/kg, or ₹/bag</x:v>
      </x:c>
      <x:c r="J4" s="31" t="str">
        <x:v>Usually 50 kg or 100 kg sacks; dal/flour often 25 kg or 50 kg bags</x:v>
      </x:c>
      <x:c r="K4" s="31" t="str">
        <x:v>Preferred normalized unit is ₹/quintal. If quote is per bag, use net bag weight: ₹/kg = bag price ÷ kg; ₹/quintal = ₹/kg × 100.</x:v>
      </x:c>
      <x:c r="L4" s="31" t="str">
        <x:v>₹/quintal</x:v>
      </x:c>
    </x:row>
    <x:row r="5" ht="74" customHeight="1">
      <x:c r="A5" s="14" t="str">
        <x:v>P0004</x:v>
      </x:c>
      <x:c r="B5" s="14" t="str">
        <x:v>FOOD GRAINS / CEREALS</x:v>
      </x:c>
      <x:c r="C5" s="14" t="str">
        <x:v>Arhar Dal Split</x:v>
      </x:c>
      <x:c r="D5" s="14" t="str">
        <x:v>अरहर दाल / तूर दाल</x:v>
      </x:c>
      <x:c r="E5" s="14" t="str">
        <x:v>arhar dal / toor dal, tur dal, toor dal, pigeon pea dal</x:v>
      </x:c>
      <x:c r="F5" s="14" t="str">
        <x:v>Known varieties/types: Maruti, Asha/ICPL 87119, BSMR-736, BDN series, ICPH hybrids, desi and hybrid pigeon pea</x:v>
      </x:c>
      <x:c r="G5" s="14" t="str">
        <x:v>Maharashtra: Latur, Nanded, Beed, Akola, Amravati; Karnataka: Kalaburagi/Gulbarga, Bidar, Vijayapura; Madhya Pradesh: Narsinghpur, Chhindwara, Sehore; Uttar Pradesh: Kanpur, Fatehpur, Prayagraj; Gujarat: Bharuch, Vadodara; Telangana: Mahabubnagar, Adilabad</x:v>
      </x:c>
      <x:c r="H5" s="31" t="str">
        <x:v>Jute/gunny bag or HDPE/PP woven sack</x:v>
      </x:c>
      <x:c r="I5" s="31" t="str">
        <x:v>₹/quintal, ₹/kg, or ₹/bag</x:v>
      </x:c>
      <x:c r="J5" s="31" t="str">
        <x:v>Usually 50 kg or 100 kg sacks; dal/flour often 25 kg or 50 kg bags</x:v>
      </x:c>
      <x:c r="K5" s="31" t="str">
        <x:v>Preferred normalized unit is ₹/quintal. If quote is per bag, use net bag weight: ₹/kg = bag price ÷ kg; ₹/quintal = ₹/kg × 100.</x:v>
      </x:c>
      <x:c r="L5" s="31" t="str">
        <x:v>₹/quintal</x:v>
      </x:c>
    </x:row>
    <x:row r="6" ht="74" customHeight="1">
      <x:c r="A6" s="14" t="str">
        <x:v>P0005</x:v>
      </x:c>
      <x:c r="B6" s="14" t="str">
        <x:v>FOOD GRAINS / CEREALS</x:v>
      </x:c>
      <x:c r="C6" s="14" t="str">
        <x:v>Bajra</x:v>
      </x:c>
      <x:c r="D6" s="14" t="str">
        <x:v>बाजरा</x:v>
      </x:c>
      <x:c r="E6" s="14" t="str">
        <x:v>bajra, pearl millet</x:v>
      </x:c>
      <x:c r="F6" s="14" t="str">
        <x:v>Known varieties/types: HHB-67 Improved, ICTP 8203, Raj-171, ICMH hybrids, local desi bajra</x:v>
      </x:c>
      <x:c r="G6" s="14" t="str">
        <x:v>Rajasthan: Jaipur, Nagaur, Jodhpur, Bikaner, Barmer, Churu, Sikar; Haryana: Hisar, Bhiwani, Mahendragarh, Sirsa; Gujarat: Banaskantha, Kutch, Mehsana; Uttar Pradesh: Agra, Aligarh, Mathura; Maharashtra: Ahmednagar, Solapur, Pune</x:v>
      </x:c>
      <x:c r="H6" s="31" t="str">
        <x:v>Jute/gunny bag or HDPE/PP woven sack</x:v>
      </x:c>
      <x:c r="I6" s="31" t="str">
        <x:v>₹/quintal, ₹/kg, or ₹/bag</x:v>
      </x:c>
      <x:c r="J6" s="31" t="str">
        <x:v>Usually 50 kg or 100 kg sacks; dal/flour often 25 kg or 50 kg bags</x:v>
      </x:c>
      <x:c r="K6" s="31" t="str">
        <x:v>Preferred normalized unit is ₹/quintal. If quote is per bag, use net bag weight: ₹/kg = bag price ÷ kg; ₹/quintal = ₹/kg × 100.</x:v>
      </x:c>
      <x:c r="L6" s="31" t="str">
        <x:v>₹/quintal</x:v>
      </x:c>
    </x:row>
    <x:row r="7" ht="74" customHeight="1">
      <x:c r="A7" s="14" t="str">
        <x:v>P0006</x:v>
      </x:c>
      <x:c r="B7" s="14" t="str">
        <x:v>FOOD GRAINS / CEREALS</x:v>
      </x:c>
      <x:c r="C7" s="14" t="str">
        <x:v>Barley</x:v>
      </x:c>
      <x:c r="D7" s="14" t="str">
        <x:v>जौ</x:v>
      </x:c>
      <x:c r="E7" s="14" t="str">
        <x:v>jau, barley</x:v>
      </x:c>
      <x:c r="F7" s="14" t="str">
        <x:v>Known varieties/types: RD-2035, RD-2552, DWRB series, malt barley and feed barley types</x:v>
      </x:c>
      <x:c r="G7" s="14" t="str">
        <x:v>Rajasthan: Jaipur, Sikar, Nagaur, Ganganagar, Hanumangarh; Uttar Pradesh: Agra, Aligarh, Meerut; Madhya Pradesh: Ujjain, Mandsaur; Haryana/Punjab malting-barley pockets</x:v>
      </x:c>
      <x:c r="H7" s="31" t="str">
        <x:v>Jute/gunny bag or HDPE/PP woven sack</x:v>
      </x:c>
      <x:c r="I7" s="31" t="str">
        <x:v>₹/quintal, ₹/kg, or ₹/bag</x:v>
      </x:c>
      <x:c r="J7" s="31" t="str">
        <x:v>Usually 50 kg or 100 kg sacks; dal/flour often 25 kg or 50 kg bags</x:v>
      </x:c>
      <x:c r="K7" s="31" t="str">
        <x:v>Preferred normalized unit is ₹/quintal. If quote is per bag, use net bag weight: ₹/kg = bag price ÷ kg; ₹/quintal = ₹/kg × 100.</x:v>
      </x:c>
      <x:c r="L7" s="31" t="str">
        <x:v>₹/quintal</x:v>
      </x:c>
    </x:row>
    <x:row r="8" ht="74" customHeight="1">
      <x:c r="A8" s="14" t="str">
        <x:v>P0007</x:v>
      </x:c>
      <x:c r="B8" s="14" t="str">
        <x:v>FOOD GRAINS / CEREALS</x:v>
      </x:c>
      <x:c r="C8" s="14" t="str">
        <x:v>Barnyard Millet</x:v>
      </x:c>
      <x:c r="D8" s="14" t="str">
        <x:v>सांवा / सामक</x:v>
      </x:c>
      <x:c r="E8" s="14" t="str">
        <x:v>sanwa / samak, barnyard millet, samak rice, vrat rice</x:v>
      </x:c>
      <x:c r="F8" s="14" t="str">
        <x:v>Common varieties/types: Basmati 1121, Pusa Basmati 1509, Pusa Basmati 1718, PR-126, Swarna, MTU-1010, Sona Masuri, Ponni, IR-64, local aromatic landraces</x:v>
      </x:c>
      <x:c r="G8" s="14" t="str">
        <x:v>West Bengal: Burdwan, Nadia, Hooghly, Murshidabad, Malda; Uttar Pradesh: Gorakhpur, Varanasi, Lakhimpur Kheri, Pilibhit; Punjab: Amritsar, Ludhiana, Patiala; Haryana: Karnal, Kurukshetra; Telangana/Andhra: Nalgonda, Karimnagar, Krishna, East Godavari; Chhattisgarh: Raipur, Durg, Bilaspur; Odisha: Cuttack, Puri, Sambalpur; Assam: Nagaon, Kamrup; Bihar: Rohtas, Bhojpur, Purnea</x:v>
      </x:c>
      <x:c r="H8" s="31" t="str">
        <x:v>Jute/gunny bag or HDPE/PP woven sack</x:v>
      </x:c>
      <x:c r="I8" s="31" t="str">
        <x:v>₹/quintal, ₹/kg, or ₹/bag</x:v>
      </x:c>
      <x:c r="J8" s="31" t="str">
        <x:v>Usually 50 kg or 100 kg sacks; dal/flour often 25 kg or 50 kg bags</x:v>
      </x:c>
      <x:c r="K8" s="31" t="str">
        <x:v>Preferred normalized unit is ₹/quintal. If quote is per bag, use net bag weight: ₹/kg = bag price ÷ kg; ₹/quintal = ₹/kg × 100.</x:v>
      </x:c>
      <x:c r="L8" s="31" t="str">
        <x:v>₹/quintal</x:v>
      </x:c>
    </x:row>
    <x:row r="9" ht="74" customHeight="1">
      <x:c r="A9" s="14" t="str">
        <x:v>P0008</x:v>
      </x:c>
      <x:c r="B9" s="14" t="str">
        <x:v>FOOD GRAINS / CEREALS</x:v>
      </x:c>
      <x:c r="C9" s="14" t="str">
        <x:v>Basmati Rice</x:v>
      </x:c>
      <x:c r="D9" s="14" t="str">
        <x:v>बासमती चावल</x:v>
      </x:c>
      <x:c r="E9" s="14" t="str">
        <x:v>basmati chawal, basmati rice</x:v>
      </x:c>
      <x:c r="F9" s="14" t="str">
        <x:v>Known varieties/types: Pusa Basmati 1121, Pusa Basmati 1509, Pusa Basmati 1718, Pusa Basmati 1, Taraori/HBC-19, CSR-30</x:v>
      </x:c>
      <x:c r="G9" s="14" t="str">
        <x:v>Punjab: Amritsar, Gurdaspur, Tarn Taran, Ludhiana; Haryana: Karnal, Kurukshetra, Panipat, Ambala; Western Uttar Pradesh: Saharanpur, Muzaffarnagar, Meerut, Bijnor, Pilibhit; Uttarakhand: Udham Singh Nagar, Haridwar; Jammu region and Himachal foothills; Delhi/NCR basmati arrival belt</x:v>
      </x:c>
      <x:c r="H9" s="31" t="str">
        <x:v>Jute/gunny bag or HDPE/PP woven sack</x:v>
      </x:c>
      <x:c r="I9" s="31" t="str">
        <x:v>₹/quintal, ₹/kg, or ₹/bag</x:v>
      </x:c>
      <x:c r="J9" s="31" t="str">
        <x:v>Usually 50 kg or 100 kg sacks; dal/flour often 25 kg or 50 kg bags</x:v>
      </x:c>
      <x:c r="K9" s="31" t="str">
        <x:v>Preferred normalized unit is ₹/quintal. If quote is per bag, use net bag weight: ₹/kg = bag price ÷ kg; ₹/quintal = ₹/kg × 100.</x:v>
      </x:c>
      <x:c r="L9" s="31" t="str">
        <x:v>₹/quintal</x:v>
      </x:c>
    </x:row>
    <x:row r="10" ht="74" customHeight="1">
      <x:c r="A10" s="14" t="str">
        <x:v>P0009</x:v>
      </x:c>
      <x:c r="B10" s="14" t="str">
        <x:v>FOOD GRAINS / CEREALS</x:v>
      </x:c>
      <x:c r="C10" s="14" t="str">
        <x:v>Broken Rice</x:v>
      </x:c>
      <x:c r="D10" s="14" t="str">
        <x:v>टूटा चावल</x:v>
      </x:c>
      <x:c r="E10" s="14" t="str">
        <x:v>toota chawal, broken rice, tukda chawal</x:v>
      </x:c>
      <x:c r="F10" s="14" t="str">
        <x:v>Common varieties/types: Basmati 1121, Pusa Basmati 1509, Pusa Basmati 1718, PR-126, Swarna, MTU-1010, Sona Masuri, Ponni, IR-64, local aromatic landraces</x:v>
      </x:c>
      <x:c r="G10" s="14" t="str">
        <x:v>West Bengal: Burdwan, Nadia, Hooghly, Murshidabad, Malda; Uttar Pradesh: Gorakhpur, Varanasi, Lakhimpur Kheri, Pilibhit; Punjab: Amritsar, Ludhiana, Patiala; Haryana: Karnal, Kurukshetra; Telangana/Andhra: Nalgonda, Karimnagar, Krishna, East Godavari; Chhattisgarh: Raipur, Durg, Bilaspur; Odisha: Cuttack, Puri, Sambalpur; Assam: Nagaon, Kamrup; Bihar: Rohtas, Bhojpur, Purnea</x:v>
      </x:c>
      <x:c r="H10" s="31" t="str">
        <x:v>Jute/gunny bag or HDPE/PP woven sack</x:v>
      </x:c>
      <x:c r="I10" s="31" t="str">
        <x:v>₹/quintal, ₹/kg, or ₹/bag</x:v>
      </x:c>
      <x:c r="J10" s="31" t="str">
        <x:v>Usually 50 kg or 100 kg sacks; dal/flour often 25 kg or 50 kg bags</x:v>
      </x:c>
      <x:c r="K10" s="31" t="str">
        <x:v>Preferred normalized unit is ₹/quintal. If quote is per bag, use net bag weight: ₹/kg = bag price ÷ kg; ₹/quintal = ₹/kg × 100.</x:v>
      </x:c>
      <x:c r="L10" s="31" t="str">
        <x:v>₹/quintal</x:v>
      </x:c>
    </x:row>
    <x:row r="11" ht="74" customHeight="1">
      <x:c r="A11" s="14" t="str">
        <x:v>P0010</x:v>
      </x:c>
      <x:c r="B11" s="14" t="str">
        <x:v>FOOD GRAINS / CEREALS</x:v>
      </x:c>
      <x:c r="C11" s="14" t="str">
        <x:v>Browntop Millet</x:v>
      </x:c>
      <x:c r="D11" s="14" t="str">
        <x:v>ब्राउनटॉप मिलेट</x:v>
      </x:c>
      <x:c r="E11" s="14" t="str">
        <x:v>browntop millet, browntop, korale</x:v>
      </x:c>
      <x:c r="F11" s="14" t="str">
        <x:v>Known varieties/types: local korale/browntop millet landraces; cultivar names are less standardized in mandi trade</x:v>
      </x:c>
      <x:c r="G11" s="14" t="str">
        <x:v>Karnataka dryland belts around Tumakuru, Chitradurga, Koppal and Ballari; Andhra Pradesh/Telangana dry tracts; small pockets in Tamil Nadu and Maharashtra</x:v>
      </x:c>
      <x:c r="H11" s="31" t="str">
        <x:v>Jute/gunny bag or HDPE/PP woven sack</x:v>
      </x:c>
      <x:c r="I11" s="31" t="str">
        <x:v>₹/quintal, ₹/kg, or ₹/bag</x:v>
      </x:c>
      <x:c r="J11" s="31" t="str">
        <x:v>Usually 50 kg or 100 kg sacks; dal/flour often 25 kg or 50 kg bags</x:v>
      </x:c>
      <x:c r="K11" s="31" t="str">
        <x:v>Preferred normalized unit is ₹/quintal. If quote is per bag, use net bag weight: ₹/kg = bag price ÷ kg; ₹/quintal = ₹/kg × 100.</x:v>
      </x:c>
      <x:c r="L11" s="31" t="str">
        <x:v>₹/quintal</x:v>
      </x:c>
    </x:row>
    <x:row r="12" ht="74" customHeight="1">
      <x:c r="A12" s="14" t="str">
        <x:v>P0011</x:v>
      </x:c>
      <x:c r="B12" s="14" t="str">
        <x:v>FOOD GRAINS / CEREALS</x:v>
      </x:c>
      <x:c r="C12" s="14" t="str">
        <x:v>Buck Wheat</x:v>
      </x:c>
      <x:c r="D12" s="14" t="str">
        <x:v>कुट्टू</x:v>
      </x:c>
      <x:c r="E12" s="14" t="str">
        <x:v>kuttu, buckwheat</x:v>
      </x:c>
      <x:c r="F12" s="14" t="str">
        <x:v>Known varieties/types: Himpriya, VL Ugal, local kuttu landraces</x:v>
      </x:c>
      <x:c r="G12" s="14" t="str">
        <x:v>Uttarakhand: Chamoli, Pithoragarh, Almora; Himachal Pradesh: Kullu, Kinnaur, Mandi; Jammu &amp; Kashmir/Ladakh: Kargil, Leh; North-east hill pockets</x:v>
      </x:c>
      <x:c r="H12" s="31" t="str">
        <x:v>Jute/gunny bag or HDPE/PP woven sack</x:v>
      </x:c>
      <x:c r="I12" s="31" t="str">
        <x:v>₹/quintal, ₹/kg, or ₹/bag</x:v>
      </x:c>
      <x:c r="J12" s="31" t="str">
        <x:v>Usually 50 kg or 100 kg sacks; dal/flour often 25 kg or 50 kg bags</x:v>
      </x:c>
      <x:c r="K12" s="31" t="str">
        <x:v>Preferred normalized unit is ₹/quintal. If quote is per bag, use net bag weight: ₹/kg = bag price ÷ kg; ₹/quintal = ₹/kg × 100.</x:v>
      </x:c>
      <x:c r="L12" s="31" t="str">
        <x:v>₹/quintal</x:v>
      </x:c>
    </x:row>
    <x:row r="13" ht="74" customHeight="1">
      <x:c r="A13" s="14" t="str">
        <x:v>P0012</x:v>
      </x:c>
      <x:c r="B13" s="14" t="str">
        <x:v>FOOD GRAINS / CEREALS</x:v>
      </x:c>
      <x:c r="C13" s="14" t="str">
        <x:v>Chakhao / Black Rice</x:v>
      </x:c>
      <x:c r="D13" s="14" t="str">
        <x:v>काला चावल / चाखाओ चावल</x:v>
      </x:c>
      <x:c r="E13" s="14" t="str">
        <x:v>kala chawal / chakhao chawal, black rice, chakhao rice</x:v>
      </x:c>
      <x:c r="F13" s="14" t="str">
        <x:v>Known variety/type: Chakhao black rice, Manipuri aromatic black rice landraces</x:v>
      </x:c>
      <x:c r="G13" s="14" t="str">
        <x:v>Manipur: Imphal East, Imphal West, Bishnupur, Thoubal and valley paddy belts; also niche black-rice pockets in Assam, Odisha and West Bengal</x:v>
      </x:c>
      <x:c r="H13" s="31" t="str">
        <x:v>Jute/gunny bag or HDPE/PP woven sack</x:v>
      </x:c>
      <x:c r="I13" s="31" t="str">
        <x:v>₹/quintal, ₹/kg, or ₹/bag</x:v>
      </x:c>
      <x:c r="J13" s="31" t="str">
        <x:v>Usually 50 kg or 100 kg sacks; dal/flour often 25 kg or 50 kg bags</x:v>
      </x:c>
      <x:c r="K13" s="31" t="str">
        <x:v>Preferred normalized unit is ₹/quintal. If quote is per bag, use net bag weight: ₹/kg = bag price ÷ kg; ₹/quintal = ₹/kg × 100.</x:v>
      </x:c>
      <x:c r="L13" s="31" t="str">
        <x:v>₹/quintal</x:v>
      </x:c>
    </x:row>
    <x:row r="14" ht="74" customHeight="1">
      <x:c r="A14" s="14" t="str">
        <x:v>P0013</x:v>
      </x:c>
      <x:c r="B14" s="14" t="str">
        <x:v>FOOD GRAINS / CEREALS</x:v>
      </x:c>
      <x:c r="C14" s="14" t="str">
        <x:v>Chana Dal Split</x:v>
      </x:c>
      <x:c r="D14" s="14" t="str">
        <x:v>चना दाल</x:v>
      </x:c>
      <x:c r="E14" s="14" t="str">
        <x:v>chana dal, bengal gram dal, split chickpea</x:v>
      </x:c>
      <x:c r="F14" s="14" t="str">
        <x:v>Known varieties/types: JG-11, JAKI-9218, Vijay, Vishal, Pusa-256, Kabuli types, desi/brown chana</x:v>
      </x:c>
      <x:c r="G14" s="14" t="str">
        <x:v>Madhya Pradesh: Sehore, Vidisha, Dewas, Ujjain, Narmadapuram; Rajasthan: Kota, Bundi, Baran, Jaipur, Churu; Maharashtra: Akola, Amravati, Latur; Uttar Pradesh: Banda, Hamirpur, Jhansi; Karnataka: Kalaburagi, Vijayapura; Gujarat: Dahod, Banaskantha</x:v>
      </x:c>
      <x:c r="H14" s="31" t="str">
        <x:v>Jute/gunny bag or HDPE/PP woven sack</x:v>
      </x:c>
      <x:c r="I14" s="31" t="str">
        <x:v>₹/quintal, ₹/kg, or ₹/bag</x:v>
      </x:c>
      <x:c r="J14" s="31" t="str">
        <x:v>Usually 50 kg or 100 kg sacks; dal/flour often 25 kg or 50 kg bags</x:v>
      </x:c>
      <x:c r="K14" s="31" t="str">
        <x:v>Preferred normalized unit is ₹/quintal. If quote is per bag, use net bag weight: ₹/kg = bag price ÷ kg; ₹/quintal = ₹/kg × 100.</x:v>
      </x:c>
      <x:c r="L14" s="31" t="str">
        <x:v>₹/quintal</x:v>
      </x:c>
    </x:row>
    <x:row r="15" ht="74" customHeight="1">
      <x:c r="A15" s="14" t="str">
        <x:v>P0014</x:v>
      </x:c>
      <x:c r="B15" s="14" t="str">
        <x:v>FOOD GRAINS / CEREALS</x:v>
      </x:c>
      <x:c r="C15" s="14" t="str">
        <x:v>Chana Whole</x:v>
      </x:c>
      <x:c r="D15" s="14" t="str">
        <x:v>साबुत चना</x:v>
      </x:c>
      <x:c r="E15" s="14" t="str">
        <x:v>sabut chana, whole chana, bengal gram</x:v>
      </x:c>
      <x:c r="F15" s="14" t="str">
        <x:v>Known varieties/types: JG-11, JAKI-9218, Vijay, Vishal, Pusa-256, Kabuli types, desi/brown chana</x:v>
      </x:c>
      <x:c r="G15" s="14" t="str">
        <x:v>Madhya Pradesh: Sehore, Vidisha, Dewas, Ujjain, Narmadapuram; Rajasthan: Kota, Bundi, Baran, Jaipur, Churu; Maharashtra: Akola, Amravati, Latur; Uttar Pradesh: Banda, Hamirpur, Jhansi; Karnataka: Kalaburagi, Vijayapura; Gujarat: Dahod, Banaskantha</x:v>
      </x:c>
      <x:c r="H15" s="31" t="str">
        <x:v>Jute/gunny bag or HDPE/PP woven sack</x:v>
      </x:c>
      <x:c r="I15" s="31" t="str">
        <x:v>₹/quintal, ₹/kg, or ₹/bag</x:v>
      </x:c>
      <x:c r="J15" s="31" t="str">
        <x:v>Usually 50 kg or 100 kg sacks; dal/flour often 25 kg or 50 kg bags</x:v>
      </x:c>
      <x:c r="K15" s="31" t="str">
        <x:v>Preferred normalized unit is ₹/quintal. If quote is per bag, use net bag weight: ₹/kg = bag price ÷ kg; ₹/quintal = ₹/kg × 100.</x:v>
      </x:c>
      <x:c r="L15" s="31" t="str">
        <x:v>₹/quintal</x:v>
      </x:c>
    </x:row>
    <x:row r="16" ht="74" customHeight="1">
      <x:c r="A16" s="14" t="str">
        <x:v>P0015</x:v>
      </x:c>
      <x:c r="B16" s="14" t="str">
        <x:v>FOOD GRAINS / CEREALS</x:v>
      </x:c>
      <x:c r="C16" s="14" t="str">
        <x:v>Foxtail Millet</x:v>
      </x:c>
      <x:c r="D16" s="14" t="str">
        <x:v>कंगनी / काकुन</x:v>
      </x:c>
      <x:c r="E16" s="14" t="str">
        <x:v>kangni / kakun, foxtail millet</x:v>
      </x:c>
      <x:c r="F16" s="14" t="str">
        <x:v>Known varieties/types: SiA-3156, CO-7, HMT-100-1, local kangni/kakun landraces</x:v>
      </x:c>
      <x:c r="G16" s="14" t="str">
        <x:v>Karnataka: Raichur, Ballari, Koppal; Andhra Pradesh: Anantapur, Kurnool; Telangana: Mahabubnagar; Tamil Nadu: Dharmapuri, Krishnagiri; Odisha/Chhattisgarh tribal belts</x:v>
      </x:c>
      <x:c r="H16" s="31" t="str">
        <x:v>Jute/gunny bag or HDPE/PP woven sack</x:v>
      </x:c>
      <x:c r="I16" s="31" t="str">
        <x:v>₹/quintal, ₹/kg, or ₹/bag</x:v>
      </x:c>
      <x:c r="J16" s="31" t="str">
        <x:v>Usually 50 kg or 100 kg sacks; dal/flour often 25 kg or 50 kg bags</x:v>
      </x:c>
      <x:c r="K16" s="31" t="str">
        <x:v>Preferred normalized unit is ₹/quintal. If quote is per bag, use net bag weight: ₹/kg = bag price ÷ kg; ₹/quintal = ₹/kg × 100.</x:v>
      </x:c>
      <x:c r="L16" s="31" t="str">
        <x:v>₹/quintal</x:v>
      </x:c>
    </x:row>
    <x:row r="17" ht="74" customHeight="1">
      <x:c r="A17" s="14" t="str">
        <x:v>P0016</x:v>
      </x:c>
      <x:c r="B17" s="14" t="str">
        <x:v>FOOD GRAINS / CEREALS</x:v>
      </x:c>
      <x:c r="C17" s="14" t="str">
        <x:v>Horse Gram</x:v>
      </x:c>
      <x:c r="D17" s="14" t="str">
        <x:v>कुल्थी</x:v>
      </x:c>
      <x:c r="E17" s="14" t="str">
        <x:v>kulthi, horse gram, kulthi dal</x:v>
      </x:c>
      <x:c r="F17" s="14" t="str">
        <x:v>Known varieties/types: Paiyur-2, CRHG series, local kulthi landraces</x:v>
      </x:c>
      <x:c r="G17" s="14" t="str">
        <x:v>Karnataka: Chitradurga, Tumakuru, Hassan; Tamil Nadu: Dharmapuri, Salem; Andhra Pradesh: Anantapur, Kurnool; Odisha/Chhattisgarh tribal belts; Maharashtra dryland pockets</x:v>
      </x:c>
      <x:c r="H17" s="31" t="str">
        <x:v>Jute/gunny bag or HDPE/PP woven sack</x:v>
      </x:c>
      <x:c r="I17" s="31" t="str">
        <x:v>₹/quintal, ₹/kg, or ₹/bag</x:v>
      </x:c>
      <x:c r="J17" s="31" t="str">
        <x:v>Usually 50 kg or 100 kg sacks; dal/flour often 25 kg or 50 kg bags</x:v>
      </x:c>
      <x:c r="K17" s="31" t="str">
        <x:v>Preferred normalized unit is ₹/quintal. If quote is per bag, use net bag weight: ₹/kg = bag price ÷ kg; ₹/quintal = ₹/kg × 100.</x:v>
      </x:c>
      <x:c r="L17" s="31" t="str">
        <x:v>₹/quintal</x:v>
      </x:c>
    </x:row>
    <x:row r="18" ht="74" customHeight="1">
      <x:c r="A18" s="14" t="str">
        <x:v>P0017</x:v>
      </x:c>
      <x:c r="B18" s="14" t="str">
        <x:v>FOOD GRAINS / CEREALS</x:v>
      </x:c>
      <x:c r="C18" s="14" t="str">
        <x:v>Jowar</x:v>
      </x:c>
      <x:c r="D18" s="14" t="str">
        <x:v>ज्वार</x:v>
      </x:c>
      <x:c r="E18" s="14" t="str">
        <x:v>jowar, sorghum</x:v>
      </x:c>
      <x:c r="F18" s="14" t="str">
        <x:v>Known varieties/types: CSV-15, CSV-20, CSH hybrids, Maldandi/M35-1, local grain and fodder sorghum</x:v>
      </x:c>
      <x:c r="G18" s="14" t="str">
        <x:v>Maharashtra: Solapur, Ahmednagar, Pune, Beed, Latur; Karnataka: Vijayapura, Bagalkot, Dharwad, Belagavi; Telangana: Mahabubnagar, Nalgonda; Madhya Pradesh: Indore, Ujjain; Rajasthan/Gujarat dryland belts</x:v>
      </x:c>
      <x:c r="H18" s="31" t="str">
        <x:v>Jute/gunny bag or HDPE/PP woven sack</x:v>
      </x:c>
      <x:c r="I18" s="31" t="str">
        <x:v>₹/quintal, ₹/kg, or ₹/bag</x:v>
      </x:c>
      <x:c r="J18" s="31" t="str">
        <x:v>Usually 50 kg or 100 kg sacks; dal/flour often 25 kg or 50 kg bags</x:v>
      </x:c>
      <x:c r="K18" s="31" t="str">
        <x:v>Preferred normalized unit is ₹/quintal. If quote is per bag, use net bag weight: ₹/kg = bag price ÷ kg; ₹/quintal = ₹/kg × 100.</x:v>
      </x:c>
      <x:c r="L18" s="31" t="str">
        <x:v>₹/quintal</x:v>
      </x:c>
    </x:row>
    <x:row r="19" ht="74" customHeight="1">
      <x:c r="A19" s="14" t="str">
        <x:v>P0018</x:v>
      </x:c>
      <x:c r="B19" s="14" t="str">
        <x:v>FOOD GRAINS / CEREALS</x:v>
      </x:c>
      <x:c r="C19" s="14" t="str">
        <x:v>Kabuli Chana Whole</x:v>
      </x:c>
      <x:c r="D19" s="14" t="str">
        <x:v>काबुली चना</x:v>
      </x:c>
      <x:c r="E19" s="14" t="str">
        <x:v>kabuli chana, chickpea, white chana, chhole</x:v>
      </x:c>
      <x:c r="F19" s="14" t="str">
        <x:v>Known varieties/types: Kabuli bold, Dollar chana, KAK-2, JGK-1, Pusa Kabuli varieties</x:v>
      </x:c>
      <x:c r="G19" s="14" t="str">
        <x:v>Madhya Pradesh: Indore, Dewas, Ujjain, Sehore, Shajapur; Maharashtra: Akola, Amravati; Karnataka: Kalaburagi; Rajasthan: Kota, Bundi; export/processing arrivals in Indore and Delhi markets</x:v>
      </x:c>
      <x:c r="H19" s="31" t="str">
        <x:v>Jute/gunny bag or HDPE/PP woven sack</x:v>
      </x:c>
      <x:c r="I19" s="31" t="str">
        <x:v>₹/quintal, ₹/kg, or ₹/bag</x:v>
      </x:c>
      <x:c r="J19" s="31" t="str">
        <x:v>Usually 50 kg or 100 kg sacks; dal/flour often 25 kg or 50 kg bags</x:v>
      </x:c>
      <x:c r="K19" s="31" t="str">
        <x:v>Preferred normalized unit is ₹/quintal. If quote is per bag, use net bag weight: ₹/kg = bag price ÷ kg; ₹/quintal = ₹/kg × 100.</x:v>
      </x:c>
      <x:c r="L19" s="31" t="str">
        <x:v>₹/quintal</x:v>
      </x:c>
    </x:row>
    <x:row r="20" ht="74" customHeight="1">
      <x:c r="A20" s="14" t="str">
        <x:v>P0019</x:v>
      </x:c>
      <x:c r="B20" s="14" t="str">
        <x:v>FOOD GRAINS / CEREALS</x:v>
      </x:c>
      <x:c r="C20" s="14" t="str">
        <x:v>Katarni Rice</x:v>
      </x:c>
      <x:c r="D20" s="14" t="str">
        <x:v>कतरनी चावल</x:v>
      </x:c>
      <x:c r="E20" s="14" t="str">
        <x:v>katarni chawal, katarni dhan, katarni rice</x:v>
      </x:c>
      <x:c r="F20" s="14" t="str">
        <x:v>Known variety/type: Katarni aromatic rice, Bhagalpur/Banka landrace</x:v>
      </x:c>
      <x:c r="G20" s="14" t="str">
        <x:v>Bihar: Bhagalpur, Banka, Munger and adjoining Anga region aromatic-rice pockets</x:v>
      </x:c>
      <x:c r="H20" s="31" t="str">
        <x:v>Jute/gunny bag or HDPE/PP woven sack</x:v>
      </x:c>
      <x:c r="I20" s="31" t="str">
        <x:v>₹/quintal, ₹/kg, or ₹/bag</x:v>
      </x:c>
      <x:c r="J20" s="31" t="str">
        <x:v>Usually 50 kg or 100 kg sacks; dal/flour often 25 kg or 50 kg bags</x:v>
      </x:c>
      <x:c r="K20" s="31" t="str">
        <x:v>Preferred normalized unit is ₹/quintal. If quote is per bag, use net bag weight: ₹/kg = bag price ÷ kg; ₹/quintal = ₹/kg × 100.</x:v>
      </x:c>
      <x:c r="L20" s="31" t="str">
        <x:v>₹/quintal</x:v>
      </x:c>
    </x:row>
    <x:row r="21" ht="74" customHeight="1">
      <x:c r="A21" s="14" t="str">
        <x:v>P0020</x:v>
      </x:c>
      <x:c r="B21" s="14" t="str">
        <x:v>FOOD GRAINS / CEREALS</x:v>
      </x:c>
      <x:c r="C21" s="14" t="str">
        <x:v>Khesari Dal</x:v>
      </x:c>
      <x:c r="D21" s="14" t="str">
        <x:v>खेसारी दाल</x:v>
      </x:c>
      <x:c r="E21" s="14" t="str">
        <x:v>khesari dal, grass pea</x:v>
      </x:c>
      <x:c r="F21" s="14" t="str">
        <x:v>Known varieties/types: Ratan, Prateek, Mahateora, low-ODAP lathyrus types</x:v>
      </x:c>
      <x:c r="G21" s="14" t="str">
        <x:v>Bihar: Patna, Nalanda, Bhojpur; Chhattisgarh: Raipur, Bilaspur; Madhya Pradesh: Rewa, Satna; Uttar Pradesh/Bengal rabi pulse pockets</x:v>
      </x:c>
      <x:c r="H21" s="31" t="str">
        <x:v>Jute/gunny bag or HDPE/PP woven sack</x:v>
      </x:c>
      <x:c r="I21" s="31" t="str">
        <x:v>₹/quintal, ₹/kg, or ₹/bag</x:v>
      </x:c>
      <x:c r="J21" s="31" t="str">
        <x:v>Usually 50 kg or 100 kg sacks; dal/flour often 25 kg or 50 kg bags</x:v>
      </x:c>
      <x:c r="K21" s="31" t="str">
        <x:v>Preferred normalized unit is ₹/quintal. If quote is per bag, use net bag weight: ₹/kg = bag price ÷ kg; ₹/quintal = ₹/kg × 100.</x:v>
      </x:c>
      <x:c r="L21" s="31" t="str">
        <x:v>₹/quintal</x:v>
      </x:c>
    </x:row>
    <x:row r="22" ht="74" customHeight="1">
      <x:c r="A22" s="14" t="str">
        <x:v>P0021</x:v>
      </x:c>
      <x:c r="B22" s="14" t="str">
        <x:v>FOOD GRAINS / CEREALS</x:v>
      </x:c>
      <x:c r="C22" s="14" t="str">
        <x:v>Kodo Millet</x:v>
      </x:c>
      <x:c r="D22" s="14" t="str">
        <x:v>कोदो</x:v>
      </x:c>
      <x:c r="E22" s="14" t="str">
        <x:v>kodo, kodo millet</x:v>
      </x:c>
      <x:c r="F22" s="14" t="str">
        <x:v>Known varieties/types: JK-41, JK-48, GPUK series, local kodo/kodra landraces</x:v>
      </x:c>
      <x:c r="G22" s="14" t="str">
        <x:v>Madhya Pradesh: Mandla, Dindori, Chhindwara; Chhattisgarh: Bastar, Kanker; Odisha: Koraput, Rayagada; Maharashtra: Nashik, Pune tribal belts</x:v>
      </x:c>
      <x:c r="H22" s="31" t="str">
        <x:v>Jute/gunny bag or HDPE/PP woven sack</x:v>
      </x:c>
      <x:c r="I22" s="31" t="str">
        <x:v>₹/quintal, ₹/kg, or ₹/bag</x:v>
      </x:c>
      <x:c r="J22" s="31" t="str">
        <x:v>Usually 50 kg or 100 kg sacks; dal/flour often 25 kg or 50 kg bags</x:v>
      </x:c>
      <x:c r="K22" s="31" t="str">
        <x:v>Preferred normalized unit is ₹/quintal. If quote is per bag, use net bag weight: ₹/kg = bag price ÷ kg; ₹/quintal = ₹/kg × 100.</x:v>
      </x:c>
      <x:c r="L22" s="31" t="str">
        <x:v>₹/quintal</x:v>
      </x:c>
    </x:row>
    <x:row r="23" ht="74" customHeight="1">
      <x:c r="A23" s="14" t="str">
        <x:v>P0022</x:v>
      </x:c>
      <x:c r="B23" s="14" t="str">
        <x:v>FOOD GRAINS / CEREALS</x:v>
      </x:c>
      <x:c r="C23" s="14" t="str">
        <x:v>Little Millet</x:v>
      </x:c>
      <x:c r="D23" s="14" t="str">
        <x:v>कुटकी</x:v>
      </x:c>
      <x:c r="E23" s="14" t="str">
        <x:v>kutki, little millet</x:v>
      </x:c>
      <x:c r="F23" s="14" t="str">
        <x:v>Known varieties/types: OLM-203, CO Samai, local kutki/samai landraces</x:v>
      </x:c>
      <x:c r="G23" s="14" t="str">
        <x:v>Tamil Nadu: Dharmapuri, Salem; Karnataka dryland belts; Odisha: Koraput, Rayagada; Chhattisgarh: Bastar; Madhya Pradesh: Dindori, Mandla</x:v>
      </x:c>
      <x:c r="H23" s="31" t="str">
        <x:v>Jute/gunny bag or HDPE/PP woven sack</x:v>
      </x:c>
      <x:c r="I23" s="31" t="str">
        <x:v>₹/quintal, ₹/kg, or ₹/bag</x:v>
      </x:c>
      <x:c r="J23" s="31" t="str">
        <x:v>Usually 50 kg or 100 kg sacks; dal/flour often 25 kg or 50 kg bags</x:v>
      </x:c>
      <x:c r="K23" s="31" t="str">
        <x:v>Preferred normalized unit is ₹/quintal. If quote is per bag, use net bag weight: ₹/kg = bag price ÷ kg; ₹/quintal = ₹/kg × 100.</x:v>
      </x:c>
      <x:c r="L23" s="31" t="str">
        <x:v>₹/quintal</x:v>
      </x:c>
    </x:row>
    <x:row r="24" ht="74" customHeight="1">
      <x:c r="A24" s="14" t="str">
        <x:v>P0023</x:v>
      </x:c>
      <x:c r="B24" s="14" t="str">
        <x:v>FOOD GRAINS / CEREALS</x:v>
      </x:c>
      <x:c r="C24" s="14" t="str">
        <x:v>Lobia</x:v>
      </x:c>
      <x:c r="D24" s="14" t="str">
        <x:v>लोबिया</x:v>
      </x:c>
      <x:c r="E24" s="14" t="str">
        <x:v>lobia, cowpea, black-eyed pea</x:v>
      </x:c>
      <x:c r="F24" s="14" t="str">
        <x:v>Known varieties/types: Pusa Komal, Kashi Kanchan, Arka Garima, cowpea grain and pod types</x:v>
      </x:c>
      <x:c r="G24" s="14" t="str">
        <x:v>Rajasthan: Jaipur, Nagaur, Jodhpur; Uttar Pradesh: Meerut, Saharanpur, Lucknow; Karnataka: Bengaluru Rural, Kolar; Gujarat dryland belts; Haryana/Punjab vegetable-pod belts</x:v>
      </x:c>
      <x:c r="H24" s="31" t="str">
        <x:v>Jute/gunny bag or HDPE/PP woven sack</x:v>
      </x:c>
      <x:c r="I24" s="31" t="str">
        <x:v>₹/quintal, ₹/kg, or ₹/bag</x:v>
      </x:c>
      <x:c r="J24" s="31" t="str">
        <x:v>Usually 50 kg or 100 kg sacks; dal/flour often 25 kg or 50 kg bags</x:v>
      </x:c>
      <x:c r="K24" s="31" t="str">
        <x:v>Preferred normalized unit is ₹/quintal. If quote is per bag, use net bag weight: ₹/kg = bag price ÷ kg; ₹/quintal = ₹/kg × 100.</x:v>
      </x:c>
      <x:c r="L24" s="31" t="str">
        <x:v>₹/quintal</x:v>
      </x:c>
    </x:row>
    <x:row r="25" ht="74" customHeight="1">
      <x:c r="A25" s="14" t="str">
        <x:v>P0024</x:v>
      </x:c>
      <x:c r="B25" s="14" t="str">
        <x:v>FOOD GRAINS / CEREALS</x:v>
      </x:c>
      <x:c r="C25" s="14" t="str">
        <x:v>Maize</x:v>
      </x:c>
      <x:c r="D25" s="14" t="str">
        <x:v>मक्का</x:v>
      </x:c>
      <x:c r="E25" s="14" t="str">
        <x:v>makka, corn, maize</x:v>
      </x:c>
      <x:c r="F25" s="14" t="str">
        <x:v>Known varieties/types: HQPM hybrids, 900M Gold-type hybrids, sweet corn, baby corn, pop corn, dent/flint maize</x:v>
      </x:c>
      <x:c r="G25" s="14" t="str">
        <x:v>Karnataka: Davanagere, Haveri, Belagavi; Bihar: Purnea, Katihar, Begusarai, Khagaria; Madhya Pradesh: Chhindwara, Seoni, Mandla; Rajasthan: Bhilwara, Banswara, Udaipur; Uttar Pradesh: Bahraich, Hardoi, Gonda; Telangana/Andhra: Karimnagar, Warangal, Guntur, Krishna</x:v>
      </x:c>
      <x:c r="H25" s="31" t="str">
        <x:v>Jute/gunny bag or HDPE/PP woven sack</x:v>
      </x:c>
      <x:c r="I25" s="31" t="str">
        <x:v>₹/quintal, ₹/kg, or ₹/bag</x:v>
      </x:c>
      <x:c r="J25" s="31" t="str">
        <x:v>Usually 50 kg or 100 kg sacks; dal/flour often 25 kg or 50 kg bags</x:v>
      </x:c>
      <x:c r="K25" s="31" t="str">
        <x:v>Preferred normalized unit is ₹/quintal. If quote is per bag, use net bag weight: ₹/kg = bag price ÷ kg; ₹/quintal = ₹/kg × 100.</x:v>
      </x:c>
      <x:c r="L25" s="31" t="str">
        <x:v>₹/quintal</x:v>
      </x:c>
    </x:row>
    <x:row r="26" ht="74" customHeight="1">
      <x:c r="A26" s="14" t="str">
        <x:v>P0025</x:v>
      </x:c>
      <x:c r="B26" s="14" t="str">
        <x:v>FOOD GRAINS / CEREALS</x:v>
      </x:c>
      <x:c r="C26" s="14" t="str">
        <x:v>Marcha Rice</x:v>
      </x:c>
      <x:c r="D26" s="14" t="str">
        <x:v>मरचा चावल</x:v>
      </x:c>
      <x:c r="E26" s="14" t="str">
        <x:v>marcha chawal, marcha rice</x:v>
      </x:c>
      <x:c r="F26" s="14" t="str">
        <x:v>Known variety/type: Marcha/Mircha rice, West Champaran aromatic landrace</x:v>
      </x:c>
      <x:c r="G26" s="14" t="str">
        <x:v>Bihar: West Champaran, East Champaran and north Bihar aromatic-rice pockets</x:v>
      </x:c>
      <x:c r="H26" s="31" t="str">
        <x:v>Jute/gunny bag or HDPE/PP woven sack</x:v>
      </x:c>
      <x:c r="I26" s="31" t="str">
        <x:v>₹/quintal, ₹/kg, or ₹/bag</x:v>
      </x:c>
      <x:c r="J26" s="31" t="str">
        <x:v>Usually 50 kg or 100 kg sacks; dal/flour often 25 kg or 50 kg bags</x:v>
      </x:c>
      <x:c r="K26" s="31" t="str">
        <x:v>Preferred normalized unit is ₹/quintal. If quote is per bag, use net bag weight: ₹/kg = bag price ÷ kg; ₹/quintal = ₹/kg × 100.</x:v>
      </x:c>
      <x:c r="L26" s="31" t="str">
        <x:v>₹/quintal</x:v>
      </x:c>
    </x:row>
    <x:row r="27" ht="74" customHeight="1">
      <x:c r="A27" s="14" t="str">
        <x:v>P0026</x:v>
      </x:c>
      <x:c r="B27" s="14" t="str">
        <x:v>FOOD GRAINS / CEREALS</x:v>
      </x:c>
      <x:c r="C27" s="14" t="str">
        <x:v>Masoor Whole</x:v>
      </x:c>
      <x:c r="D27" s="14" t="str">
        <x:v>साबुत मसूर</x:v>
      </x:c>
      <x:c r="E27" s="14" t="str">
        <x:v>sabut masoor, whole masoor, red lentil whole</x:v>
      </x:c>
      <x:c r="F27" s="14" t="str">
        <x:v>Known varieties/types: PL-406, HUL-57, K-75, Pusa Masoor, small and bold lentil types</x:v>
      </x:c>
      <x:c r="G27" s="14" t="str">
        <x:v>Madhya Pradesh: Vidisha, Sagar, Damoh, Narsinghpur; Uttar Pradesh: Kanpur, Fatehpur, Hamirpur; Bihar: Patna, Nalanda; West Bengal: Murshidabad, Nadia; Jharkhand/Chhattisgarh rabi pockets</x:v>
      </x:c>
      <x:c r="H27" s="31" t="str">
        <x:v>Jute/gunny bag or HDPE/PP woven sack</x:v>
      </x:c>
      <x:c r="I27" s="31" t="str">
        <x:v>₹/quintal, ₹/kg, or ₹/bag</x:v>
      </x:c>
      <x:c r="J27" s="31" t="str">
        <x:v>Usually 50 kg or 100 kg sacks; dal/flour often 25 kg or 50 kg bags</x:v>
      </x:c>
      <x:c r="K27" s="31" t="str">
        <x:v>Preferred normalized unit is ₹/quintal. If quote is per bag, use net bag weight: ₹/kg = bag price ÷ kg; ₹/quintal = ₹/kg × 100.</x:v>
      </x:c>
      <x:c r="L27" s="31" t="str">
        <x:v>₹/quintal</x:v>
      </x:c>
    </x:row>
    <x:row r="28" ht="74" customHeight="1">
      <x:c r="A28" s="14" t="str">
        <x:v>P0027</x:v>
      </x:c>
      <x:c r="B28" s="14" t="str">
        <x:v>FOOD GRAINS / CEREALS</x:v>
      </x:c>
      <x:c r="C28" s="14" t="str">
        <x:v>Moong Dal Split</x:v>
      </x:c>
      <x:c r="D28" s="14" t="str">
        <x:v>मूंग दाल</x:v>
      </x:c>
      <x:c r="E28" s="14" t="str">
        <x:v>moong dal, split green gram</x:v>
      </x:c>
      <x:c r="F28" s="14" t="str">
        <x:v>Known varieties/types: SML-668, PDM-139, IPM-02-3, Samrat, local green gram types</x:v>
      </x:c>
      <x:c r="G28" s="14" t="str">
        <x:v>Rajasthan: Nagaur, Jodhpur, Jaipur, Ajmer; Maharashtra: Akola, Amravati, Jalgaon; Karnataka: Kalaburagi, Bidar; Madhya Pradesh: Ujjain, Indore; Uttar Pradesh: Hardoi, Sitapur; summer moong belts in Punjab/Haryana</x:v>
      </x:c>
      <x:c r="H28" s="31" t="str">
        <x:v>Jute/gunny bag or HDPE/PP woven sack</x:v>
      </x:c>
      <x:c r="I28" s="31" t="str">
        <x:v>₹/quintal, ₹/kg, or ₹/bag</x:v>
      </x:c>
      <x:c r="J28" s="31" t="str">
        <x:v>Usually 50 kg or 100 kg sacks; dal/flour often 25 kg or 50 kg bags</x:v>
      </x:c>
      <x:c r="K28" s="31" t="str">
        <x:v>Preferred normalized unit is ₹/quintal. If quote is per bag, use net bag weight: ₹/kg = bag price ÷ kg; ₹/quintal = ₹/kg × 100.</x:v>
      </x:c>
      <x:c r="L28" s="31" t="str">
        <x:v>₹/quintal</x:v>
      </x:c>
    </x:row>
    <x:row r="29" ht="74" customHeight="1">
      <x:c r="A29" s="14" t="str">
        <x:v>P0028</x:v>
      </x:c>
      <x:c r="B29" s="14" t="str">
        <x:v>FOOD GRAINS / CEREALS</x:v>
      </x:c>
      <x:c r="C29" s="14" t="str">
        <x:v>Moong Whole</x:v>
      </x:c>
      <x:c r="D29" s="14" t="str">
        <x:v>साबुत मूंग</x:v>
      </x:c>
      <x:c r="E29" s="14" t="str">
        <x:v>sabut moong, whole green gram</x:v>
      </x:c>
      <x:c r="F29" s="14" t="str">
        <x:v>Known varieties/types: SML-668, PDM-139, IPM-02-3, Samrat, local green gram types</x:v>
      </x:c>
      <x:c r="G29" s="14" t="str">
        <x:v>Rajasthan: Nagaur, Jodhpur, Jaipur, Ajmer; Maharashtra: Akola, Amravati, Jalgaon; Karnataka: Kalaburagi, Bidar; Madhya Pradesh: Ujjain, Indore; Uttar Pradesh: Hardoi, Sitapur; summer moong belts in Punjab/Haryana</x:v>
      </x:c>
      <x:c r="H29" s="31" t="str">
        <x:v>Jute/gunny bag or HDPE/PP woven sack</x:v>
      </x:c>
      <x:c r="I29" s="31" t="str">
        <x:v>₹/quintal, ₹/kg, or ₹/bag</x:v>
      </x:c>
      <x:c r="J29" s="31" t="str">
        <x:v>Usually 50 kg or 100 kg sacks; dal/flour often 25 kg or 50 kg bags</x:v>
      </x:c>
      <x:c r="K29" s="31" t="str">
        <x:v>Preferred normalized unit is ₹/quintal. If quote is per bag, use net bag weight: ₹/kg = bag price ÷ kg; ₹/quintal = ₹/kg × 100.</x:v>
      </x:c>
      <x:c r="L29" s="31" t="str">
        <x:v>₹/quintal</x:v>
      </x:c>
    </x:row>
    <x:row r="30" ht="74" customHeight="1">
      <x:c r="A30" s="14" t="str">
        <x:v>P0029</x:v>
      </x:c>
      <x:c r="B30" s="14" t="str">
        <x:v>FOOD GRAINS / CEREALS</x:v>
      </x:c>
      <x:c r="C30" s="14" t="str">
        <x:v>Moth</x:v>
      </x:c>
      <x:c r="D30" s="14" t="str">
        <x:v>मोठ</x:v>
      </x:c>
      <x:c r="E30" s="14" t="str">
        <x:v>moth, moth bean, matki</x:v>
      </x:c>
      <x:c r="F30" s="14" t="str">
        <x:v>Known varieties/types: RMO-225, RMO-40, local moth bean landraces</x:v>
      </x:c>
      <x:c r="G30" s="14" t="str">
        <x:v>Rajasthan: Bikaner, Jodhpur, Nagaur, Churu, Barmer; Gujarat: Kutch, Banaskantha; Haryana: Hisar, Bhiwani; dryland arrivals in Delhi/Rajasthan mandis</x:v>
      </x:c>
      <x:c r="H30" s="31" t="str">
        <x:v>Jute/gunny bag or HDPE/PP woven sack</x:v>
      </x:c>
      <x:c r="I30" s="31" t="str">
        <x:v>₹/quintal, ₹/kg, or ₹/bag</x:v>
      </x:c>
      <x:c r="J30" s="31" t="str">
        <x:v>Usually 50 kg or 100 kg sacks; dal/flour often 25 kg or 50 kg bags</x:v>
      </x:c>
      <x:c r="K30" s="31" t="str">
        <x:v>Preferred normalized unit is ₹/quintal. If quote is per bag, use net bag weight: ₹/kg = bag price ÷ kg; ₹/quintal = ₹/kg × 100.</x:v>
      </x:c>
      <x:c r="L30" s="31" t="str">
        <x:v>₹/quintal</x:v>
      </x:c>
    </x:row>
    <x:row r="31" ht="74" customHeight="1">
      <x:c r="A31" s="14" t="str">
        <x:v>P0030</x:v>
      </x:c>
      <x:c r="B31" s="14" t="str">
        <x:v>FOOD GRAINS / CEREALS</x:v>
      </x:c>
      <x:c r="C31" s="14" t="str">
        <x:v>Oats Raw</x:v>
      </x:c>
      <x:c r="D31" s="14" t="str">
        <x:v>जई</x:v>
      </x:c>
      <x:c r="E31" s="14" t="str">
        <x:v>jai, oats</x:v>
      </x:c>
      <x:c r="F31" s="14" t="str">
        <x:v>Known varieties/types: Kent, JHO series, OS-6, fodder oats and raw oats</x:v>
      </x:c>
      <x:c r="G31" s="14" t="str">
        <x:v>Punjab, Haryana, Uttar Pradesh and Rajasthan fodder-oats belts; cooler hill/foothill pockets in Himachal Pradesh and Uttarakhand</x:v>
      </x:c>
      <x:c r="H31" s="31" t="str">
        <x:v>Jute/gunny bag or HDPE/PP woven sack</x:v>
      </x:c>
      <x:c r="I31" s="31" t="str">
        <x:v>₹/quintal, ₹/kg, or ₹/bag</x:v>
      </x:c>
      <x:c r="J31" s="31" t="str">
        <x:v>Usually 50 kg or 100 kg sacks; dal/flour often 25 kg or 50 kg bags</x:v>
      </x:c>
      <x:c r="K31" s="31" t="str">
        <x:v>Preferred normalized unit is ₹/quintal. If quote is per bag, use net bag weight: ₹/kg = bag price ÷ kg; ₹/quintal = ₹/kg × 100.</x:v>
      </x:c>
      <x:c r="L31" s="31" t="str">
        <x:v>₹/quintal</x:v>
      </x:c>
    </x:row>
    <x:row r="32" ht="74" customHeight="1">
      <x:c r="A32" s="14" t="str">
        <x:v>P0031</x:v>
      </x:c>
      <x:c r="B32" s="14" t="str">
        <x:v>FOOD GRAINS / CEREALS</x:v>
      </x:c>
      <x:c r="C32" s="14" t="str">
        <x:v>Paddy</x:v>
      </x:c>
      <x:c r="D32" s="14" t="str">
        <x:v>धान</x:v>
      </x:c>
      <x:c r="E32" s="14" t="str">
        <x:v>dhan, paddy, unmilled rice</x:v>
      </x:c>
      <x:c r="F32" s="14" t="str">
        <x:v>Common varieties/types: Basmati 1121, Pusa Basmati 1509, Pusa Basmati 1718, PR-126, Swarna, MTU-1010, Sona Masuri, Ponni, IR-64, local aromatic landraces</x:v>
      </x:c>
      <x:c r="G32" s="14" t="str">
        <x:v>West Bengal: Burdwan, Nadia, Hooghly, Murshidabad, Malda; Uttar Pradesh: Gorakhpur, Varanasi, Lakhimpur Kheri, Pilibhit; Punjab: Amritsar, Ludhiana, Patiala; Haryana: Karnal, Kurukshetra; Telangana/Andhra: Nalgonda, Karimnagar, Krishna, East Godavari; Chhattisgarh: Raipur, Durg, Bilaspur; Odisha: Cuttack, Puri, Sambalpur; Assam: Nagaon, Kamrup; Bihar: Rohtas, Bhojpur, Purnea</x:v>
      </x:c>
      <x:c r="H32" s="31" t="str">
        <x:v>Jute/gunny bag or HDPE/PP woven sack</x:v>
      </x:c>
      <x:c r="I32" s="31" t="str">
        <x:v>₹/quintal, ₹/kg, or ₹/bag</x:v>
      </x:c>
      <x:c r="J32" s="31" t="str">
        <x:v>Usually 50 kg or 100 kg sacks; dal/flour often 25 kg or 50 kg bags</x:v>
      </x:c>
      <x:c r="K32" s="31" t="str">
        <x:v>Preferred normalized unit is ₹/quintal. If quote is per bag, use net bag weight: ₹/kg = bag price ÷ kg; ₹/quintal = ₹/kg × 100.</x:v>
      </x:c>
      <x:c r="L32" s="31" t="str">
        <x:v>₹/quintal</x:v>
      </x:c>
    </x:row>
    <x:row r="33" ht="74" customHeight="1">
      <x:c r="A33" s="14" t="str">
        <x:v>P0032</x:v>
      </x:c>
      <x:c r="B33" s="14" t="str">
        <x:v>FOOD GRAINS / CEREALS</x:v>
      </x:c>
      <x:c r="C33" s="14" t="str">
        <x:v>Proso Millet</x:v>
      </x:c>
      <x:c r="D33" s="14" t="str">
        <x:v>चीना / बर्री</x:v>
      </x:c>
      <x:c r="E33" s="14" t="str">
        <x:v>cheena / barri, proso millet</x:v>
      </x:c>
      <x:c r="F33" s="14" t="str">
        <x:v>Known varieties/types: TNAU 145, CO series, local proso/chena landraces</x:v>
      </x:c>
      <x:c r="G33" s="14" t="str">
        <x:v>Uttar Pradesh, Madhya Pradesh, Bihar and Chhattisgarh rainfed pockets; Himalayan/tribal belts where chena/barri is grown</x:v>
      </x:c>
      <x:c r="H33" s="31" t="str">
        <x:v>Jute/gunny bag or HDPE/PP woven sack</x:v>
      </x:c>
      <x:c r="I33" s="31" t="str">
        <x:v>₹/quintal, ₹/kg, or ₹/bag</x:v>
      </x:c>
      <x:c r="J33" s="31" t="str">
        <x:v>Usually 50 kg or 100 kg sacks; dal/flour often 25 kg or 50 kg bags</x:v>
      </x:c>
      <x:c r="K33" s="31" t="str">
        <x:v>Preferred normalized unit is ₹/quintal. If quote is per bag, use net bag weight: ₹/kg = bag price ÷ kg; ₹/quintal = ₹/kg × 100.</x:v>
      </x:c>
      <x:c r="L33" s="31" t="str">
        <x:v>₹/quintal</x:v>
      </x:c>
    </x:row>
    <x:row r="34" ht="74" customHeight="1">
      <x:c r="A34" s="14" t="str">
        <x:v>P0033</x:v>
      </x:c>
      <x:c r="B34" s="14" t="str">
        <x:v>FOOD GRAINS / CEREALS</x:v>
      </x:c>
      <x:c r="C34" s="14" t="str">
        <x:v>Ragi</x:v>
      </x:c>
      <x:c r="D34" s="14" t="str">
        <x:v>रागी / मंडुआ</x:v>
      </x:c>
      <x:c r="E34" s="14" t="str">
        <x:v>ragi / mandua, finger millet</x:v>
      </x:c>
      <x:c r="F34" s="14" t="str">
        <x:v>Known varieties/types: GPU-28, GPU-67, VL Mandua, PR-202, local mandua/nachni landraces</x:v>
      </x:c>
      <x:c r="G34" s="14" t="str">
        <x:v>Karnataka: Bengaluru Rural, Ramanagara, Tumakuru, Hassan, Mandya, Chikkaballapur; Tamil Nadu: Dharmapuri, Krishnagiri, Salem; Uttarakhand: Almora, Pithoragarh; Odisha/Andhra tribal hill belts</x:v>
      </x:c>
      <x:c r="H34" s="31" t="str">
        <x:v>Jute/gunny bag or HDPE/PP woven sack</x:v>
      </x:c>
      <x:c r="I34" s="31" t="str">
        <x:v>₹/quintal, ₹/kg, or ₹/bag</x:v>
      </x:c>
      <x:c r="J34" s="31" t="str">
        <x:v>Usually 50 kg or 100 kg sacks; dal/flour often 25 kg or 50 kg bags</x:v>
      </x:c>
      <x:c r="K34" s="31" t="str">
        <x:v>Preferred normalized unit is ₹/quintal. If quote is per bag, use net bag weight: ₹/kg = bag price ÷ kg; ₹/quintal = ₹/kg × 100.</x:v>
      </x:c>
      <x:c r="L34" s="31" t="str">
        <x:v>₹/quintal</x:v>
      </x:c>
    </x:row>
    <x:row r="35" ht="74" customHeight="1">
      <x:c r="A35" s="14" t="str">
        <x:v>P0034</x:v>
      </x:c>
      <x:c r="B35" s="14" t="str">
        <x:v>FOOD GRAINS / CEREALS</x:v>
      </x:c>
      <x:c r="C35" s="14" t="str">
        <x:v>Rajma</x:v>
      </x:c>
      <x:c r="D35" s="14" t="str">
        <x:v>राजमा</x:v>
      </x:c>
      <x:c r="E35" s="14" t="str">
        <x:v>rajma, kidney bean</x:v>
      </x:c>
      <x:c r="F35" s="14" t="str">
        <x:v>Known varieties/types: Jammu Rajma, Chitra Rajma, Kashmiri Rajma, Red kidney bean, local hill rajma landraces</x:v>
      </x:c>
      <x:c r="G35" s="14" t="str">
        <x:v>Jammu &amp; Kashmir: Bhaderwah/Doda, Kishtwar, Rajouri; Himachal/Uttarakhand hill rajma belts; Maharashtra: Satara/Mahabaleshwar rajma pockets; North East hill pockets</x:v>
      </x:c>
      <x:c r="H35" s="31" t="str">
        <x:v>Jute/gunny bag or HDPE/PP woven sack</x:v>
      </x:c>
      <x:c r="I35" s="31" t="str">
        <x:v>₹/quintal, ₹/kg, or ₹/bag</x:v>
      </x:c>
      <x:c r="J35" s="31" t="str">
        <x:v>Usually 50 kg or 100 kg sacks; dal/flour often 25 kg or 50 kg bags</x:v>
      </x:c>
      <x:c r="K35" s="31" t="str">
        <x:v>Preferred normalized unit is ₹/quintal. If quote is per bag, use net bag weight: ₹/kg = bag price ÷ kg; ₹/quintal = ₹/kg × 100.</x:v>
      </x:c>
      <x:c r="L35" s="31" t="str">
        <x:v>₹/quintal</x:v>
      </x:c>
    </x:row>
    <x:row r="36" ht="74" customHeight="1">
      <x:c r="A36" s="14" t="str">
        <x:v>P0035</x:v>
      </x:c>
      <x:c r="B36" s="14" t="str">
        <x:v>FOOD GRAINS / CEREALS</x:v>
      </x:c>
      <x:c r="C36" s="14" t="str">
        <x:v>Urad Dal Split</x:v>
      </x:c>
      <x:c r="D36" s="14" t="str">
        <x:v>उड़द दाल</x:v>
      </x:c>
      <x:c r="E36" s="14" t="str">
        <x:v>urad dal, split black gram</x:v>
      </x:c>
      <x:c r="F36" s="14" t="str">
        <x:v>Known varieties/types: T-9, PU-31, LBG-752, Mash-114, local black gram types</x:v>
      </x:c>
      <x:c r="G36" s="14" t="str">
        <x:v>Madhya Pradesh: Jabalpur, Chhindwara, Narsinghpur; Uttar Pradesh: Kanpur, Fatehpur, Prayagraj; Rajasthan: Kota, Bundi; Maharashtra: Akola, Amravati; Tamil Nadu: Thanjavur, Tiruchirappalli; Andhra/Telangana pulses belts</x:v>
      </x:c>
      <x:c r="H36" s="31" t="str">
        <x:v>Jute/gunny bag or HDPE/PP woven sack</x:v>
      </x:c>
      <x:c r="I36" s="31" t="str">
        <x:v>₹/quintal, ₹/kg, or ₹/bag</x:v>
      </x:c>
      <x:c r="J36" s="31" t="str">
        <x:v>Usually 50 kg or 100 kg sacks; dal/flour often 25 kg or 50 kg bags</x:v>
      </x:c>
      <x:c r="K36" s="31" t="str">
        <x:v>Preferred normalized unit is ₹/quintal. If quote is per bag, use net bag weight: ₹/kg = bag price ÷ kg; ₹/quintal = ₹/kg × 100.</x:v>
      </x:c>
      <x:c r="L36" s="31" t="str">
        <x:v>₹/quintal</x:v>
      </x:c>
    </x:row>
    <x:row r="37" ht="74" customHeight="1">
      <x:c r="A37" s="14" t="str">
        <x:v>P0036</x:v>
      </x:c>
      <x:c r="B37" s="14" t="str">
        <x:v>FOOD GRAINS / CEREALS</x:v>
      </x:c>
      <x:c r="C37" s="14" t="str">
        <x:v>Urad Whole</x:v>
      </x:c>
      <x:c r="D37" s="14" t="str">
        <x:v>साबुत उड़द</x:v>
      </x:c>
      <x:c r="E37" s="14" t="str">
        <x:v>sabut urad, whole black gram</x:v>
      </x:c>
      <x:c r="F37" s="14" t="str">
        <x:v>Known varieties/types: T-9, PU-31, LBG-752, Mash-114, local black gram types</x:v>
      </x:c>
      <x:c r="G37" s="14" t="str">
        <x:v>Madhya Pradesh: Jabalpur, Chhindwara, Narsinghpur; Uttar Pradesh: Kanpur, Fatehpur, Prayagraj; Rajasthan: Kota, Bundi; Maharashtra: Akola, Amravati; Tamil Nadu: Thanjavur, Tiruchirappalli; Andhra/Telangana pulses belts</x:v>
      </x:c>
      <x:c r="H37" s="31" t="str">
        <x:v>Jute/gunny bag or HDPE/PP woven sack</x:v>
      </x:c>
      <x:c r="I37" s="31" t="str">
        <x:v>₹/quintal, ₹/kg, or ₹/bag</x:v>
      </x:c>
      <x:c r="J37" s="31" t="str">
        <x:v>Usually 50 kg or 100 kg sacks; dal/flour often 25 kg or 50 kg bags</x:v>
      </x:c>
      <x:c r="K37" s="31" t="str">
        <x:v>Preferred normalized unit is ₹/quintal. If quote is per bag, use net bag weight: ₹/kg = bag price ÷ kg; ₹/quintal = ₹/kg × 100.</x:v>
      </x:c>
      <x:c r="L37" s="31" t="str">
        <x:v>₹/quintal</x:v>
      </x:c>
    </x:row>
    <x:row r="38" ht="74" customHeight="1">
      <x:c r="A38" s="14" t="str">
        <x:v>P0037</x:v>
      </x:c>
      <x:c r="B38" s="14" t="str">
        <x:v>FOOD GRAINS / CEREALS</x:v>
      </x:c>
      <x:c r="C38" s="14" t="str">
        <x:v>Wheat</x:v>
      </x:c>
      <x:c r="D38" s="14" t="str">
        <x:v>गेहूं</x:v>
      </x:c>
      <x:c r="E38" s="14" t="str">
        <x:v>gehun, wheat</x:v>
      </x:c>
      <x:c r="F38" s="14" t="str">
        <x:v>Known varieties/types: HD-2967, HD-3086, PBW-343, PBW-550, DBW-187, Lok-1, Sharbati, Durum/Malwa wheat</x:v>
      </x:c>
      <x:c r="G38" s="14" t="str">
        <x:v>Uttar Pradesh: Meerut, Saharanpur, Aligarh, Agra, Lakhimpur Kheri, Bijnor; Punjab: Ludhiana, Sangrur, Patiala, Bathinda; Haryana: Karnal, Kurukshetra, Hisar, Sirsa; Madhya Pradesh: Sehore, Vidisha, Narmadapuram, Indore, Ujjain, Mandsaur; Rajasthan: Kota, Bundi, Ganganagar, Hanumangarh, Jaipur; Bihar: Rohtas, Bhojpur, Patna</x:v>
      </x:c>
      <x:c r="H38" s="31" t="str">
        <x:v>Jute/gunny bag or HDPE/PP woven sack</x:v>
      </x:c>
      <x:c r="I38" s="31" t="str">
        <x:v>₹/quintal, ₹/kg, or ₹/bag</x:v>
      </x:c>
      <x:c r="J38" s="31" t="str">
        <x:v>Usually 50 kg or 100 kg sacks; dal/flour often 25 kg or 50 kg bags</x:v>
      </x:c>
      <x:c r="K38" s="31" t="str">
        <x:v>Preferred normalized unit is ₹/quintal. If quote is per bag, use net bag weight: ₹/kg = bag price ÷ kg; ₹/quintal = ₹/kg × 100.</x:v>
      </x:c>
      <x:c r="L38" s="31" t="str">
        <x:v>₹/quintal</x:v>
      </x:c>
    </x:row>
    <x:row r="39" ht="74" customHeight="1">
      <x:c r="A39" s="14" t="str">
        <x:v>P0038</x:v>
      </x:c>
      <x:c r="B39" s="14" t="str">
        <x:v>FOOD GRAINS / CEREALS</x:v>
      </x:c>
      <x:c r="C39" s="14" t="str">
        <x:v>White Peas</x:v>
      </x:c>
      <x:c r="D39" s="14" t="str">
        <x:v>सफेद मटर</x:v>
      </x:c>
      <x:c r="E39" s="14" t="str">
        <x:v>safed matar, white peas</x:v>
      </x:c>
      <x:c r="F39" s="14" t="str">
        <x:v>Known varieties/types: local safed matar/field pea types, Arkel-type garden peas for fresh pods</x:v>
      </x:c>
      <x:c r="G39" s="14" t="str">
        <x:v>Uttar Pradesh: Kanpur, Fatehpur, Hardoi; Madhya Pradesh: Sagar, Vidisha; Rajasthan: Kota, Bundi; imported and domestic arrivals in Delhi, Mumbai and Kolkata wholesale markets</x:v>
      </x:c>
      <x:c r="H39" s="31" t="str">
        <x:v>Jute/gunny bag or HDPE/PP woven sack</x:v>
      </x:c>
      <x:c r="I39" s="31" t="str">
        <x:v>₹/quintal, ₹/kg, or ₹/bag</x:v>
      </x:c>
      <x:c r="J39" s="31" t="str">
        <x:v>Usually 50 kg or 100 kg sacks; dal/flour often 25 kg or 50 kg bags</x:v>
      </x:c>
      <x:c r="K39" s="31" t="str">
        <x:v>Preferred normalized unit is ₹/quintal. If quote is per bag, use net bag weight: ₹/kg = bag price ÷ kg; ₹/quintal = ₹/kg × 100.</x:v>
      </x:c>
      <x:c r="L39" s="31" t="str">
        <x:v>₹/quintal</x:v>
      </x:c>
    </x:row>
    <x:row r="40" ht="74" customHeight="1">
      <x:c r="A40" s="14" t="str">
        <x:v>P0039</x:v>
      </x:c>
      <x:c r="B40" s="14" t="str">
        <x:v>OILSEEDS</x:v>
      </x:c>
      <x:c r="C40" s="14" t="str">
        <x:v>Castor Seed</x:v>
      </x:c>
      <x:c r="D40" s="14" t="str">
        <x:v>अरंडी बीज</x:v>
      </x:c>
      <x:c r="E40" s="14" t="str">
        <x:v>arandi beej, castor seed, arandi</x:v>
      </x:c>
      <x:c r="F40" s="14" t="str">
        <x:v>Known varieties/types: GCH hybrids, DCH-177, GAUCH series, local castor seed types</x:v>
      </x:c>
      <x:c r="G40" s="14" t="str">
        <x:v>Gujarat: Banaskantha, Sabarkantha, Kutch, Mehsana, Patan; Rajasthan: Jodhpur, Pali, Jalore; Telangana/Andhra dry belts</x:v>
      </x:c>
      <x:c r="H40" s="31" t="str">
        <x:v>Jute/gunny bag or HDPE/PP woven sack</x:v>
      </x:c>
      <x:c r="I40" s="31" t="str">
        <x:v>₹/quintal, ₹/kg, or ₹/bag</x:v>
      </x:c>
      <x:c r="J40" s="31" t="str">
        <x:v>Usually 40-50 kg bags for seed trade; capture actual bag weight</x:v>
      </x:c>
      <x:c r="K40" s="31" t="str">
        <x:v>Normalize to ₹/quintal. If quoted per bag, ₹/kg = bag price ÷ net kg, then ₹/quintal = ₹/kg × 100.</x:v>
      </x:c>
      <x:c r="L40" s="31" t="str">
        <x:v>₹/quintal</x:v>
      </x:c>
    </x:row>
    <x:row r="41" ht="74" customHeight="1">
      <x:c r="A41" s="14" t="str">
        <x:v>P0040</x:v>
      </x:c>
      <x:c r="B41" s="14" t="str">
        <x:v>OILSEEDS</x:v>
      </x:c>
      <x:c r="C41" s="14" t="str">
        <x:v>Cotton Seed</x:v>
      </x:c>
      <x:c r="D41" s="14" t="str">
        <x:v>कपास बीज / बिनौला</x:v>
      </x:c>
      <x:c r="E41" s="14" t="str">
        <x:v>kapas beej / binola, cotton seed, binola</x:v>
      </x:c>
      <x:c r="F41" s="14" t="str">
        <x:v>Known varieties/types: Bt cotton hybrids, desi cotton, Shankar-6 lint/seed market type</x:v>
      </x:c>
      <x:c r="G41" s="14" t="str">
        <x:v>Gujarat: Rajkot, Jamnagar, Surendranagar, Bharuch; Maharashtra: Jalgaon, Akola, Amravati, Yavatmal, Wardha; Telangana: Adilabad, Warangal; Punjab: Bathinda, Mansa; Haryana: Sirsa, Hisar; Rajasthan: Ganganagar, Hanumangarh</x:v>
      </x:c>
      <x:c r="H41" s="31" t="str">
        <x:v>Bales, pressed bundles, jute/HDPE sacks, or loose auction lots</x:v>
      </x:c>
      <x:c r="I41" s="31" t="str">
        <x:v>₹/quintal, ₹/kg, ₹/bale, or lot rate</x:v>
      </x:c>
      <x:c r="J41" s="31" t="str">
        <x:v>Bale/bundle weight varies strongly; capture actual weighbridge/net lot weight</x:v>
      </x:c>
      <x:c r="K41" s="31" t="str">
        <x:v>For mandi analysis, normalize by weight: ₹/kg = total lot value ÷ net kg; ₹/quintal = ₹/kg × 100.</x:v>
      </x:c>
      <x:c r="L41" s="31" t="str">
        <x:v>₹/quintal</x:v>
      </x:c>
    </x:row>
    <x:row r="42" ht="74" customHeight="1">
      <x:c r="A42" s="14" t="str">
        <x:v>P0041</x:v>
      </x:c>
      <x:c r="B42" s="14" t="str">
        <x:v>OILSEEDS</x:v>
      </x:c>
      <x:c r="C42" s="14" t="str">
        <x:v>Kusum Seed</x:v>
      </x:c>
      <x:c r="D42" s="14" t="str">
        <x:v>कुसुम बीज</x:v>
      </x:c>
      <x:c r="E42" s="14" t="str">
        <x:v>kusum beej, kusum seed, safflower seed</x:v>
      </x:c>
      <x:c r="F42" s="14" t="str">
        <x:v>Known varieties/types: A-1, Bhima, NARI series, local kusum/kardi types</x:v>
      </x:c>
      <x:c r="G42" s="14" t="str">
        <x:v>Maharashtra: Solapur, Latur, Beed; Karnataka: Vijayapura, Bagalkot; Telangana dry belts; Madhya Pradesh rabi pockets</x:v>
      </x:c>
      <x:c r="H42" s="31" t="str">
        <x:v>Jute/gunny bag or HDPE/PP woven sack</x:v>
      </x:c>
      <x:c r="I42" s="31" t="str">
        <x:v>₹/quintal, ₹/kg, or ₹/bag</x:v>
      </x:c>
      <x:c r="J42" s="31" t="str">
        <x:v>Usually 40-50 kg bags for seed trade; capture actual bag weight</x:v>
      </x:c>
      <x:c r="K42" s="31" t="str">
        <x:v>Normalize to ₹/quintal. If quoted per bag, ₹/kg = bag price ÷ net kg, then ₹/quintal = ₹/kg × 100.</x:v>
      </x:c>
      <x:c r="L42" s="31" t="str">
        <x:v>₹/quintal</x:v>
      </x:c>
    </x:row>
    <x:row r="43" ht="74" customHeight="1">
      <x:c r="A43" s="14" t="str">
        <x:v>P0042</x:v>
      </x:c>
      <x:c r="B43" s="14" t="str">
        <x:v>OILSEEDS</x:v>
      </x:c>
      <x:c r="C43" s="14" t="str">
        <x:v>Linseed</x:v>
      </x:c>
      <x:c r="D43" s="14" t="str">
        <x:v>अलसी</x:v>
      </x:c>
      <x:c r="E43" s="14" t="str">
        <x:v>alsi, flaxseed, linseed</x:v>
      </x:c>
      <x:c r="F43" s="14" t="str">
        <x:v>Known varieties/types: T-397, Neelum, Shekhar, Shubhra, local alsi types</x:v>
      </x:c>
      <x:c r="G43" s="14" t="str">
        <x:v>Madhya Pradesh: Sagar, Rewa, Satna; Chhattisgarh: Raipur, Bilaspur; Uttar Pradesh: Kanpur, Jhansi; Bihar and Odisha rabi pockets</x:v>
      </x:c>
      <x:c r="H43" s="31" t="str">
        <x:v>Jute/gunny bag or HDPE/PP woven sack</x:v>
      </x:c>
      <x:c r="I43" s="31" t="str">
        <x:v>₹/quintal, ₹/kg, or ₹/bag</x:v>
      </x:c>
      <x:c r="J43" s="31" t="str">
        <x:v>Usually 40-50 kg bags for seed trade; capture actual bag weight</x:v>
      </x:c>
      <x:c r="K43" s="31" t="str">
        <x:v>Normalize to ₹/quintal. If quoted per bag, ₹/kg = bag price ÷ net kg, then ₹/quintal = ₹/kg × 100.</x:v>
      </x:c>
      <x:c r="L43" s="31" t="str">
        <x:v>₹/quintal</x:v>
      </x:c>
    </x:row>
    <x:row r="44" ht="74" customHeight="1">
      <x:c r="A44" s="14" t="str">
        <x:v>P0043</x:v>
      </x:c>
      <x:c r="B44" s="14" t="str">
        <x:v>OILSEEDS</x:v>
      </x:c>
      <x:c r="C44" s="14" t="str">
        <x:v>Mustard Seed</x:v>
      </x:c>
      <x:c r="D44" s="14" t="str">
        <x:v>सरसों बीज</x:v>
      </x:c>
      <x:c r="E44" s="14" t="str">
        <x:v>sarson beej, mustard seed, rai</x:v>
      </x:c>
      <x:c r="F44" s="14" t="str">
        <x:v>Known varieties/types: Pusa Bold, Pusa Mustard-25/26/30, Varuna, Rohini, RH-749, yellow sarson and brown rai types</x:v>
      </x:c>
      <x:c r="G44" s="14" t="str">
        <x:v>Rajasthan: Bharatpur, Alwar, Jaipur, Sikar, Ganganagar, Hanumangarh; Haryana: Hisar, Bhiwani, Sirsa, Mahendragarh; Uttar Pradesh: Agra, Mathura, Aligarh, Kanpur; Madhya Pradesh: Morena, Bhind, Gwalior; Gujarat: Banaskantha, Mehsana</x:v>
      </x:c>
      <x:c r="H44" s="31" t="str">
        <x:v>Jute/gunny bag or HDPE/PP woven sack</x:v>
      </x:c>
      <x:c r="I44" s="31" t="str">
        <x:v>₹/quintal, ₹/kg, or ₹/bag</x:v>
      </x:c>
      <x:c r="J44" s="31" t="str">
        <x:v>Usually 40-50 kg bags for seed trade; capture actual bag weight</x:v>
      </x:c>
      <x:c r="K44" s="31" t="str">
        <x:v>Normalize to ₹/quintal. If quoted per bag, ₹/kg = bag price ÷ net kg, then ₹/quintal = ₹/kg × 100.</x:v>
      </x:c>
      <x:c r="L44" s="31" t="str">
        <x:v>₹/quintal</x:v>
      </x:c>
    </x:row>
    <x:row r="45" ht="74" customHeight="1">
      <x:c r="A45" s="14" t="str">
        <x:v>P0044</x:v>
      </x:c>
      <x:c r="B45" s="14" t="str">
        <x:v>OILSEEDS</x:v>
      </x:c>
      <x:c r="C45" s="14" t="str">
        <x:v>Neem Seeds</x:v>
      </x:c>
      <x:c r="D45" s="14" t="str">
        <x:v>नीम बीज</x:v>
      </x:c>
      <x:c r="E45" s="14" t="str">
        <x:v>neem beej, neem seed</x:v>
      </x:c>
      <x:c r="F45" s="14" t="str">
        <x:v>Known varieties/types: local neem seed collections; traded by seed/oil content, not standardized cultivar</x:v>
      </x:c>
      <x:c r="G45" s="14" t="str">
        <x:v>Rajasthan, Gujarat, Madhya Pradesh, Uttar Pradesh, Maharashtra and Tamil Nadu dry zones; seed collections from village/tree belts around Jaipur, Jodhpur, Kutch, Indore, Bundelkhand and Deccan regions</x:v>
      </x:c>
      <x:c r="H45" s="31" t="str">
        <x:v>Jute/gunny bag or HDPE/PP woven sack</x:v>
      </x:c>
      <x:c r="I45" s="31" t="str">
        <x:v>₹/quintal, ₹/kg, or ₹/bag</x:v>
      </x:c>
      <x:c r="J45" s="31" t="str">
        <x:v>Usually 40-50 kg bags for seed trade; capture actual bag weight</x:v>
      </x:c>
      <x:c r="K45" s="31" t="str">
        <x:v>Normalize to ₹/quintal. If quoted per bag, ₹/kg = bag price ÷ net kg, then ₹/quintal = ₹/kg × 100.</x:v>
      </x:c>
      <x:c r="L45" s="31" t="str">
        <x:v>₹/quintal</x:v>
      </x:c>
    </x:row>
    <x:row r="46" ht="74" customHeight="1">
      <x:c r="A46" s="14" t="str">
        <x:v>P0045</x:v>
      </x:c>
      <x:c r="B46" s="14" t="str">
        <x:v>OILSEEDS</x:v>
      </x:c>
      <x:c r="C46" s="14" t="str">
        <x:v>Niger Seed</x:v>
      </x:c>
      <x:c r="D46" s="14" t="str">
        <x:v>रामतिल</x:v>
      </x:c>
      <x:c r="E46" s="14" t="str">
        <x:v>ramtill, niger seed, ramtil, kala til</x:v>
      </x:c>
      <x:c r="F46" s="14" t="str">
        <x:v>Known varieties/types: JNC-6, GA-10, local ramtil/niger landraces</x:v>
      </x:c>
      <x:c r="G46" s="14" t="str">
        <x:v>Odisha: Koraput, Rayagada, Kandhamal; Chhattisgarh: Bastar, Kanker; Madhya Pradesh: Mandla, Dindori; Maharashtra tribal belts</x:v>
      </x:c>
      <x:c r="H46" s="31" t="str">
        <x:v>Jute/gunny bag or HDPE/PP woven sack</x:v>
      </x:c>
      <x:c r="I46" s="31" t="str">
        <x:v>₹/quintal, ₹/kg, or ₹/bag</x:v>
      </x:c>
      <x:c r="J46" s="31" t="str">
        <x:v>Usually 40-50 kg bags for seed trade; capture actual bag weight</x:v>
      </x:c>
      <x:c r="K46" s="31" t="str">
        <x:v>Normalize to ₹/quintal. If quoted per bag, ₹/kg = bag price ÷ net kg, then ₹/quintal = ₹/kg × 100.</x:v>
      </x:c>
      <x:c r="L46" s="31" t="str">
        <x:v>₹/quintal</x:v>
      </x:c>
    </x:row>
    <x:row r="47" ht="74" customHeight="1">
      <x:c r="A47" s="14" t="str">
        <x:v>P0046</x:v>
      </x:c>
      <x:c r="B47" s="14" t="str">
        <x:v>OILSEEDS</x:v>
      </x:c>
      <x:c r="C47" s="14" t="str">
        <x:v>Peanut Kernel</x:v>
      </x:c>
      <x:c r="D47" s="14" t="str">
        <x:v>मूंगफली दाना</x:v>
      </x:c>
      <x:c r="E47" s="14" t="str">
        <x:v>moongfali dana, groundnut kernel, peanut kernel</x:v>
      </x:c>
      <x:c r="F47" s="14" t="str">
        <x:v>Known varieties/types: SML-668, PDM-139, IPM-02-3, Samrat, local green gram types</x:v>
      </x:c>
      <x:c r="G47" s="14" t="str">
        <x:v>Rajasthan: Nagaur, Jodhpur, Jaipur, Ajmer; Maharashtra: Akola, Amravati, Jalgaon; Karnataka: Kalaburagi, Bidar; Madhya Pradesh: Ujjain, Indore; Uttar Pradesh: Hardoi, Sitapur; summer moong belts in Punjab/Haryana</x:v>
      </x:c>
      <x:c r="H47" s="31" t="str">
        <x:v>Jute/gunny bag or HDPE/PP woven sack</x:v>
      </x:c>
      <x:c r="I47" s="31" t="str">
        <x:v>₹/quintal, ₹/kg, or ₹/bag</x:v>
      </x:c>
      <x:c r="J47" s="31" t="str">
        <x:v>Usually 40-50 kg bags for seed trade; capture actual bag weight</x:v>
      </x:c>
      <x:c r="K47" s="31" t="str">
        <x:v>Normalize to ₹/quintal. If quoted per bag, ₹/kg = bag price ÷ net kg, then ₹/quintal = ₹/kg × 100.</x:v>
      </x:c>
      <x:c r="L47" s="31" t="str">
        <x:v>₹/quintal</x:v>
      </x:c>
    </x:row>
    <x:row r="48" ht="74" customHeight="1">
      <x:c r="A48" s="14" t="str">
        <x:v>P0047</x:v>
      </x:c>
      <x:c r="B48" s="14" t="str">
        <x:v>OILSEEDS</x:v>
      </x:c>
      <x:c r="C48" s="14" t="str">
        <x:v>Pongam Seeds</x:v>
      </x:c>
      <x:c r="D48" s="14" t="str">
        <x:v>करंज बीज</x:v>
      </x:c>
      <x:c r="E48" s="14" t="str">
        <x:v>karanj beej, pongam, karanja seed</x:v>
      </x:c>
      <x:c r="F48" s="14" t="str">
        <x:v>Known varieties/types: local karanj/pongamia seed collections; traded by oil content, not cultivar</x:v>
      </x:c>
      <x:c r="G48" s="14" t="str">
        <x:v>Karnataka, Tamil Nadu, Andhra Pradesh, Odisha and Maharashtra: agroforestry/avenue-tree seed collection belts around Bengaluru, Mysuru, Coimbatore, Guntur, Cuttack and Konkan-Deccan pockets</x:v>
      </x:c>
      <x:c r="H48" s="31" t="str">
        <x:v>Jute/gunny bag or HDPE/PP woven sack</x:v>
      </x:c>
      <x:c r="I48" s="31" t="str">
        <x:v>₹/quintal, ₹/kg, or ₹/bag</x:v>
      </x:c>
      <x:c r="J48" s="31" t="str">
        <x:v>Usually 40-50 kg bags for seed trade; capture actual bag weight</x:v>
      </x:c>
      <x:c r="K48" s="31" t="str">
        <x:v>Normalize to ₹/quintal. If quoted per bag, ₹/kg = bag price ÷ net kg, then ₹/quintal = ₹/kg × 100.</x:v>
      </x:c>
      <x:c r="L48" s="31" t="str">
        <x:v>₹/quintal</x:v>
      </x:c>
    </x:row>
    <x:row r="49" ht="74" customHeight="1">
      <x:c r="A49" s="14" t="str">
        <x:v>P0048</x:v>
      </x:c>
      <x:c r="B49" s="14" t="str">
        <x:v>OILSEEDS</x:v>
      </x:c>
      <x:c r="C49" s="14" t="str">
        <x:v>Rapeseed</x:v>
      </x:c>
      <x:c r="D49" s="14" t="str">
        <x:v>रेपसीड / तोरिया</x:v>
      </x:c>
      <x:c r="E49" s="14" t="str">
        <x:v>rapeseed / toria, rapeseed, toria</x:v>
      </x:c>
      <x:c r="F49" s="14" t="str">
        <x:v>Known varieties/types: Toria, Yellow Sarson, Gobhi Sarson, Pusa Gold, Pusa Mustard types</x:v>
      </x:c>
      <x:c r="G49" s="14" t="str">
        <x:v>Rajasthan, Haryana, Uttar Pradesh, Punjab and West Bengal: toria/yellow sarson belts around Bharatpur, Hisar, Aligarh, Ludhiana, Nadia and Murshidabad</x:v>
      </x:c>
      <x:c r="H49" s="31" t="str">
        <x:v>Jute/gunny bag or HDPE/PP woven sack</x:v>
      </x:c>
      <x:c r="I49" s="31" t="str">
        <x:v>₹/quintal, ₹/kg, or ₹/bag</x:v>
      </x:c>
      <x:c r="J49" s="31" t="str">
        <x:v>Usually 40-50 kg bags for seed trade; capture actual bag weight</x:v>
      </x:c>
      <x:c r="K49" s="31" t="str">
        <x:v>Normalize to ₹/quintal. If quoted per bag, ₹/kg = bag price ÷ net kg, then ₹/quintal = ₹/kg × 100.</x:v>
      </x:c>
      <x:c r="L49" s="31" t="str">
        <x:v>₹/quintal</x:v>
      </x:c>
    </x:row>
    <x:row r="50" ht="74" customHeight="1">
      <x:c r="A50" s="14" t="str">
        <x:v>P0049</x:v>
      </x:c>
      <x:c r="B50" s="14" t="str">
        <x:v>OILSEEDS</x:v>
      </x:c>
      <x:c r="C50" s="14" t="str">
        <x:v>Sal Seed</x:v>
      </x:c>
      <x:c r="D50" s="14" t="str">
        <x:v>साल बीज</x:v>
      </x:c>
      <x:c r="E50" s="14" t="str">
        <x:v>sal beej, sal seed</x:v>
      </x:c>
      <x:c r="F50" s="14" t="str">
        <x:v>Known varieties/types: forest-collected sal seed; traded by quality/oil content, not cultivar</x:v>
      </x:c>
      <x:c r="G50" s="14" t="str">
        <x:v>Forest belts of Chhattisgarh: Bastar, Kanker, Raigarh; Odisha: Mayurbhanj, Keonjhar; Jharkhand: Ranchi, Gumla; Madhya Pradesh: Mandla, Balaghat</x:v>
      </x:c>
      <x:c r="H50" s="31" t="str">
        <x:v>Jute/gunny bag or HDPE/PP woven sack</x:v>
      </x:c>
      <x:c r="I50" s="31" t="str">
        <x:v>₹/quintal, ₹/kg, or ₹/bag</x:v>
      </x:c>
      <x:c r="J50" s="31" t="str">
        <x:v>Usually 40-50 kg bags for seed trade; capture actual bag weight</x:v>
      </x:c>
      <x:c r="K50" s="31" t="str">
        <x:v>Normalize to ₹/quintal. If quoted per bag, ₹/kg = bag price ÷ net kg, then ₹/quintal = ₹/kg × 100.</x:v>
      </x:c>
      <x:c r="L50" s="31" t="str">
        <x:v>₹/quintal</x:v>
      </x:c>
    </x:row>
    <x:row r="51" ht="74" customHeight="1">
      <x:c r="A51" s="14" t="str">
        <x:v>P0050</x:v>
      </x:c>
      <x:c r="B51" s="14" t="str">
        <x:v>OILSEEDS</x:v>
      </x:c>
      <x:c r="C51" s="14" t="str">
        <x:v>Sesame Seed</x:v>
      </x:c>
      <x:c r="D51" s="14" t="str">
        <x:v>तिल</x:v>
      </x:c>
      <x:c r="E51" s="14" t="str">
        <x:v>til, sesame, gingelly</x:v>
      </x:c>
      <x:c r="F51" s="14" t="str">
        <x:v>Known varieties/types: GT-10, TKG-22, Pragati, black/white til market types</x:v>
      </x:c>
      <x:c r="G51" s="14" t="str">
        <x:v>Rajasthan: Pali, Jodhpur, Nagaur; Gujarat: Kutch, Banaskantha, Mehsana; Uttar Pradesh: Hamirpur, Jalaun; Madhya Pradesh: Tikamgarh, Chhatarpur; West Bengal/Odisha coastal belts</x:v>
      </x:c>
      <x:c r="H51" s="31" t="str">
        <x:v>Jute/gunny bag or HDPE/PP woven sack</x:v>
      </x:c>
      <x:c r="I51" s="31" t="str">
        <x:v>₹/quintal, ₹/kg, or ₹/bag</x:v>
      </x:c>
      <x:c r="J51" s="31" t="str">
        <x:v>Usually 40-50 kg bags for seed trade; capture actual bag weight</x:v>
      </x:c>
      <x:c r="K51" s="31" t="str">
        <x:v>Normalize to ₹/quintal. If quoted per bag, ₹/kg = bag price ÷ net kg, then ₹/quintal = ₹/kg × 100.</x:v>
      </x:c>
      <x:c r="L51" s="31" t="str">
        <x:v>₹/quintal</x:v>
      </x:c>
    </x:row>
    <x:row r="52" ht="74" customHeight="1">
      <x:c r="A52" s="14" t="str">
        <x:v>P0051</x:v>
      </x:c>
      <x:c r="B52" s="14" t="str">
        <x:v>OILSEEDS</x:v>
      </x:c>
      <x:c r="C52" s="14" t="str">
        <x:v>Soyabean</x:v>
      </x:c>
      <x:c r="D52" s="14" t="str">
        <x:v>सोयाबीन</x:v>
      </x:c>
      <x:c r="E52" s="14" t="str">
        <x:v>soyabean, soybean</x:v>
      </x:c>
      <x:c r="F52" s="14" t="str">
        <x:v>Known varieties/types: JS-335, JS-9560, JS-9305, NRC varieties, yellow soybean types</x:v>
      </x:c>
      <x:c r="G52" s="14" t="str">
        <x:v>Madhya Pradesh: Indore, Ujjain, Dewas, Sehore, Mandsaur; Maharashtra: Latur, Akola, Amravati; Rajasthan: Kota, Jhalawar, Baran; Telangana and Karnataka soybean pockets</x:v>
      </x:c>
      <x:c r="H52" s="31" t="str">
        <x:v>Jute/gunny bag or HDPE/PP woven sack</x:v>
      </x:c>
      <x:c r="I52" s="31" t="str">
        <x:v>₹/quintal, ₹/kg, or ₹/bag</x:v>
      </x:c>
      <x:c r="J52" s="31" t="str">
        <x:v>Usually 40-50 kg bags for seed trade; capture actual bag weight</x:v>
      </x:c>
      <x:c r="K52" s="31" t="str">
        <x:v>Normalize to ₹/quintal. If quoted per bag, ₹/kg = bag price ÷ net kg, then ₹/quintal = ₹/kg × 100.</x:v>
      </x:c>
      <x:c r="L52" s="31" t="str">
        <x:v>₹/quintal</x:v>
      </x:c>
    </x:row>
    <x:row r="53" ht="74" customHeight="1">
      <x:c r="A53" s="14" t="str">
        <x:v>P0052</x:v>
      </x:c>
      <x:c r="B53" s="14" t="str">
        <x:v>OILSEEDS</x:v>
      </x:c>
      <x:c r="C53" s="14" t="str">
        <x:v>Sunflower Seed</x:v>
      </x:c>
      <x:c r="D53" s="14" t="str">
        <x:v>सूरजमुखी बीज</x:v>
      </x:c>
      <x:c r="E53" s="14" t="str">
        <x:v>soorajmukhi beej, sunflower seed</x:v>
      </x:c>
      <x:c r="F53" s="14" t="str">
        <x:v>Known varieties/types: KBSH-44, PAC hybrids, Morden, hybrid sunflower seed types</x:v>
      </x:c>
      <x:c r="G53" s="14" t="str">
        <x:v>Karnataka: Vijayapura, Bagalkot, Raichur; Maharashtra: Solapur, Latur; Andhra Pradesh/Telangana dryland belts; Tamil Nadu: Erode, Coimbatore</x:v>
      </x:c>
      <x:c r="H53" s="31" t="str">
        <x:v>Jute/gunny bag or HDPE/PP woven sack</x:v>
      </x:c>
      <x:c r="I53" s="31" t="str">
        <x:v>₹/quintal, ₹/kg, or ₹/bag</x:v>
      </x:c>
      <x:c r="J53" s="31" t="str">
        <x:v>Usually 40-50 kg bags for seed trade; capture actual bag weight</x:v>
      </x:c>
      <x:c r="K53" s="31" t="str">
        <x:v>Normalize to ₹/quintal. If quoted per bag, ₹/kg = bag price ÷ net kg, then ₹/quintal = ₹/kg × 100.</x:v>
      </x:c>
      <x:c r="L53" s="31" t="str">
        <x:v>₹/quintal</x:v>
      </x:c>
    </x:row>
    <x:row r="54" ht="74" customHeight="1">
      <x:c r="A54" s="14" t="str">
        <x:v>P0053</x:v>
      </x:c>
      <x:c r="B54" s="14" t="str">
        <x:v>FRUITS</x:v>
      </x:c>
      <x:c r="C54" s="14" t="str">
        <x:v>Amla</x:v>
      </x:c>
      <x:c r="D54" s="14" t="str">
        <x:v>आंवला</x:v>
      </x:c>
      <x:c r="E54" s="14" t="str">
        <x:v>amla, indian gooseberry, aonla</x:v>
      </x:c>
      <x:c r="F54" s="14" t="str">
        <x:v>Known varieties/types: Banarasi, Chakaiya, NA-7, NA-10, Krishna, Kanchan</x:v>
      </x:c>
      <x:c r="G54" s="14" t="str">
        <x:v>Uttar Pradesh: Pratapgarh, Varanasi, Sultanpur; Madhya Pradesh: Jabalpur, Satna; Rajasthan: Jaipur, Ajmer; Gujarat: Anand, Kheda; Maharashtra and Tamil Nadu pockets</x:v>
      </x:c>
      <x:c r="H54" s="31" t="str">
        <x:v>Plastic crate, corrugated fiberboard carton, bamboo basket, or net/mesh bag for some citrus lots</x:v>
      </x:c>
      <x:c r="I54" s="31" t="str">
        <x:v>₹/kg, ₹/crate, ₹/box/carton, or ₹/piece for premium fruit</x:v>
      </x:c>
      <x:c r="J54" s="31" t="str">
        <x:v>Typically 5-20 kg crates/cartons depending on commodity and distance</x:v>
      </x:c>
      <x:c r="K54" s="31" t="str">
        <x:v>Normalize to ₹/kg. If quoted per crate/box, use actual net kg after tare. Keep grade/size because large-size fruit changes value.</x:v>
      </x:c>
      <x:c r="L54" s="31" t="str">
        <x:v>₹/kg</x:v>
      </x:c>
    </x:row>
    <x:row r="55" ht="74" customHeight="1">
      <x:c r="A55" s="14" t="str">
        <x:v>P0054</x:v>
      </x:c>
      <x:c r="B55" s="14" t="str">
        <x:v>FRUITS</x:v>
      </x:c>
      <x:c r="C55" s="14" t="str">
        <x:v>Apple</x:v>
      </x:c>
      <x:c r="D55" s="14" t="str">
        <x:v>सेब</x:v>
      </x:c>
      <x:c r="E55" s="14" t="str">
        <x:v>seb, apple</x:v>
      </x:c>
      <x:c r="F55" s="14" t="str">
        <x:v>Known varieties/types: Royal Delicious, Red Delicious, Golden Delicious, Ambri, Gala, Fuji, Granny Smith, Red Chief, Spur types</x:v>
      </x:c>
      <x:c r="G55" s="14" t="str">
        <x:v>Jammu &amp; Kashmir: Shopian, Anantnag, Pulwama, Kulgam, Baramulla; Himachal Pradesh: Kinnaur, Shimla, Kullu, Mandi; Uttarakhand: Nainital, Almora; Arunachal/Sikkim hill pockets</x:v>
      </x:c>
      <x:c r="H55" s="31" t="str">
        <x:v>Corrugated fiberboard carton, wooden crate/lug, plastic tray carton, or telescopic box</x:v>
      </x:c>
      <x:c r="I55" s="31" t="str">
        <x:v>₹/kg, ₹/box/carton, or count/size-grade box</x:v>
      </x:c>
      <x:c r="J55" s="31" t="str">
        <x:v>Usually 5-20 kg cartons/boxes depending on fruit and grade; capture box net weight and count size</x:v>
      </x:c>
      <x:c r="K55" s="31" t="str">
        <x:v>If quoted per box: ₹/kg = box price ÷ net kg. Also store size/count grade because box-to-box comparison can distort value.</x:v>
      </x:c>
      <x:c r="L55" s="31" t="str">
        <x:v>₹/kg</x:v>
      </x:c>
    </x:row>
    <x:row r="56" ht="74" customHeight="1">
      <x:c r="A56" s="14" t="str">
        <x:v>P0055</x:v>
      </x:c>
      <x:c r="B56" s="14" t="str">
        <x:v>FRUITS</x:v>
      </x:c>
      <x:c r="C56" s="14" t="str">
        <x:v>Apricot</x:v>
      </x:c>
      <x:c r="D56" s="14" t="str">
        <x:v>खुबानी</x:v>
      </x:c>
      <x:c r="E56" s="14" t="str">
        <x:v>khubani, apricot, zardalu</x:v>
      </x:c>
      <x:c r="F56" s="14" t="str">
        <x:v>Known variety/type: Zardalu mango, Bhagalpur GI-linked aromatic mango</x:v>
      </x:c>
      <x:c r="G56" s="14" t="str">
        <x:v>Bihar: Bhagalpur, Banka and adjoining Zardalu mango orchards in the Anga belt</x:v>
      </x:c>
      <x:c r="H56" s="31" t="str">
        <x:v>Corrugated fiberboard carton, wooden crate/lug, plastic tray carton, or telescopic box</x:v>
      </x:c>
      <x:c r="I56" s="31" t="str">
        <x:v>₹/kg, ₹/box/carton, or count/size-grade box</x:v>
      </x:c>
      <x:c r="J56" s="31" t="str">
        <x:v>Usually 5-20 kg cartons/boxes depending on fruit and grade; capture box net weight and count size</x:v>
      </x:c>
      <x:c r="K56" s="31" t="str">
        <x:v>If quoted per box: ₹/kg = box price ÷ net kg. Also store size/count grade because box-to-box comparison can distort value.</x:v>
      </x:c>
      <x:c r="L56" s="31" t="str">
        <x:v>₹/kg</x:v>
      </x:c>
    </x:row>
    <x:row r="57" ht="74" customHeight="1">
      <x:c r="A57" s="14" t="str">
        <x:v>P0056</x:v>
      </x:c>
      <x:c r="B57" s="14" t="str">
        <x:v>FRUITS</x:v>
      </x:c>
      <x:c r="C57" s="14" t="str">
        <x:v>Avocado</x:v>
      </x:c>
      <x:c r="D57" s="14" t="str">
        <x:v>अवोकाडो</x:v>
      </x:c>
      <x:c r="E57" s="14" t="str">
        <x:v>avocado, makkhan phal</x:v>
      </x:c>
      <x:c r="F57" s="14" t="str">
        <x:v>Known varieties/types: Hass, Fuerte, Pinkerton, Green-skin local hill selections</x:v>
      </x:c>
      <x:c r="G57" s="14" t="str">
        <x:v>Karnataka: Kodagu, Chikkamagaluru; Tamil Nadu: Nilgiris, Kodaikanal/Dindigul; Kerala: Wayanad, Idukki; Sikkim/Arunachal hill pockets</x:v>
      </x:c>
      <x:c r="H57" s="31" t="str">
        <x:v>Plastic crate, corrugated fiberboard carton, bamboo basket, or net/mesh bag for some citrus lots</x:v>
      </x:c>
      <x:c r="I57" s="31" t="str">
        <x:v>₹/kg, ₹/crate, ₹/box/carton, or ₹/piece for premium fruit</x:v>
      </x:c>
      <x:c r="J57" s="31" t="str">
        <x:v>Typically 5-20 kg crates/cartons depending on commodity and distance</x:v>
      </x:c>
      <x:c r="K57" s="31" t="str">
        <x:v>Normalize to ₹/kg. If quoted per crate/box, use actual net kg after tare. Keep grade/size because large-size fruit changes value.</x:v>
      </x:c>
      <x:c r="L57" s="31" t="str">
        <x:v>₹/kg</x:v>
      </x:c>
    </x:row>
    <x:row r="58" ht="74" customHeight="1">
      <x:c r="A58" s="14" t="str">
        <x:v>P0057</x:v>
      </x:c>
      <x:c r="B58" s="14" t="str">
        <x:v>FRUITS</x:v>
      </x:c>
      <x:c r="C58" s="14" t="str">
        <x:v>Baji Banana</x:v>
      </x:c>
      <x:c r="D58" s="14" t="str">
        <x:v>बाजी केला</x:v>
      </x:c>
      <x:c r="E58" s="14" t="str">
        <x:v>baji kela, baji banana</x:v>
      </x:c>
      <x:c r="F58" s="14" t="str">
        <x:v>Known varieties/types: Grand Naine/G9, Dwarf Cavendish, Robusta, Rasthali, Poovan, Nendran, Red Banana, Yelakki, Ney Poovan, Monthan/raw banana</x:v>
      </x:c>
      <x:c r="G58" s="14" t="str">
        <x:v>Maharashtra: Jalgaon, Nandurbar, Dhule; Andhra Pradesh: Anantapur, Kadapa, East Godavari; Tamil Nadu: Theni, Tiruchirappalli, Coimbatore, Erode; Gujarat: Bharuch, Narmada, Anand; Karnataka: Mysuru, Bagalkot, Belagavi; Bihar: Vaishali, Katihar; Assam/North East pockets</x:v>
      </x:c>
      <x:c r="H58" s="31" t="str">
        <x:v>Bunch/stem, loose hand, plastic crate, or carton for graded bananas</x:v>
      </x:c>
      <x:c r="I58" s="31" t="str">
        <x:v>₹/kg, ₹/dozen, ₹/bunch/stem, or ₹/crate</x:v>
      </x:c>
      <x:c r="J58" s="31" t="str">
        <x:v>Bunch/stem weight varies widely; carton/crate weights are market-specific</x:v>
      </x:c>
      <x:c r="K58" s="31" t="str">
        <x:v>If sold by dozen/bunch, value by count first. For cross-market analytics, weigh sample lot and normalize: ₹/kg = lot price ÷ net kg.</x:v>
      </x:c>
      <x:c r="L58" s="31" t="str">
        <x:v>₹/kg plus ₹/dozen</x:v>
      </x:c>
    </x:row>
    <x:row r="59" ht="74" customHeight="1">
      <x:c r="A59" s="14" t="str">
        <x:v>P0058</x:v>
      </x:c>
      <x:c r="B59" s="14" t="str">
        <x:v>FRUITS</x:v>
      </x:c>
      <x:c r="C59" s="14" t="str">
        <x:v>Banana</x:v>
      </x:c>
      <x:c r="D59" s="14" t="str">
        <x:v>केला</x:v>
      </x:c>
      <x:c r="E59" s="14" t="str">
        <x:v>kela, banana</x:v>
      </x:c>
      <x:c r="F59" s="14" t="str">
        <x:v>Known varieties/types: Grand Naine/G9, Dwarf Cavendish, Robusta, Rasthali, Poovan, Nendran, Red Banana, Yelakki, Ney Poovan, Monthan/raw banana</x:v>
      </x:c>
      <x:c r="G59" s="14" t="str">
        <x:v>Maharashtra: Jalgaon, Nandurbar, Dhule; Andhra Pradesh: Anantapur, Kadapa, East Godavari; Tamil Nadu: Theni, Tiruchirappalli, Coimbatore, Erode; Gujarat: Bharuch, Narmada, Anand; Karnataka: Mysuru, Bagalkot, Belagavi; Bihar: Vaishali, Katihar; Assam/North East pockets</x:v>
      </x:c>
      <x:c r="H59" s="31" t="str">
        <x:v>Bunch/stem, loose hand, plastic crate, or carton for graded bananas</x:v>
      </x:c>
      <x:c r="I59" s="31" t="str">
        <x:v>₹/kg, ₹/dozen, ₹/bunch/stem, or ₹/crate</x:v>
      </x:c>
      <x:c r="J59" s="31" t="str">
        <x:v>Bunch/stem weight varies widely; carton/crate weights are market-specific</x:v>
      </x:c>
      <x:c r="K59" s="31" t="str">
        <x:v>If sold by dozen/bunch, value by count first. For cross-market analytics, weigh sample lot and normalize: ₹/kg = lot price ÷ net kg.</x:v>
      </x:c>
      <x:c r="L59" s="31" t="str">
        <x:v>₹/kg plus ₹/dozen</x:v>
      </x:c>
    </x:row>
    <x:row r="60" ht="74" customHeight="1">
      <x:c r="A60" s="14" t="str">
        <x:v>P0059</x:v>
      </x:c>
      <x:c r="B60" s="14" t="str">
        <x:v>FRUITS</x:v>
      </x:c>
      <x:c r="C60" s="14" t="str">
        <x:v>Ber</x:v>
      </x:c>
      <x:c r="D60" s="14" t="str">
        <x:v>बेर</x:v>
      </x:c>
      <x:c r="E60" s="14" t="str">
        <x:v>ber, indian jujube</x:v>
      </x:c>
      <x:c r="F60" s="14" t="str">
        <x:v>Known varieties/types: Umran, Gola, Seb, Banarasi Karaka, Kaithali, Mehrun</x:v>
      </x:c>
      <x:c r="G60" s="14" t="str">
        <x:v>Rajasthan: Jaipur, Ajmer, Jodhpur, Barmer; Haryana: Hisar, Bhiwani; Punjab: Abohar, Fazilka; Gujarat: Kutch, Banaskantha; Maharashtra dry belts</x:v>
      </x:c>
      <x:c r="H60" s="31" t="str">
        <x:v>Plastic crate, corrugated fiberboard carton, bamboo basket, or net/mesh bag for some citrus lots</x:v>
      </x:c>
      <x:c r="I60" s="31" t="str">
        <x:v>₹/kg, ₹/crate, ₹/box/carton, or ₹/piece for premium fruit</x:v>
      </x:c>
      <x:c r="J60" s="31" t="str">
        <x:v>Typically 5-20 kg crates/cartons depending on commodity and distance</x:v>
      </x:c>
      <x:c r="K60" s="31" t="str">
        <x:v>Normalize to ₹/kg. If quoted per crate/box, use actual net kg after tare. Keep grade/size because large-size fruit changes value.</x:v>
      </x:c>
      <x:c r="L60" s="31" t="str">
        <x:v>₹/kg</x:v>
      </x:c>
    </x:row>
    <x:row r="61" ht="74" customHeight="1">
      <x:c r="A61" s="14" t="str">
        <x:v>P0060</x:v>
      </x:c>
      <x:c r="B61" s="14" t="str">
        <x:v>FRUITS</x:v>
      </x:c>
      <x:c r="C61" s="14" t="str">
        <x:v>Bilimbi</x:v>
      </x:c>
      <x:c r="D61" s="14" t="str">
        <x:v>बिलिंबी</x:v>
      </x:c>
      <x:c r="E61" s="14" t="str">
        <x:v>bilimbi, tree sorrel</x:v>
      </x:c>
      <x:c r="F61" s="14" t="str">
        <x:v>Known varieties/types: local bilimbi/kamias types; cultivar names not common in Indian trade</x:v>
      </x:c>
      <x:c r="G61" s="14" t="str">
        <x:v>Kerala, coastal Karnataka, Goa, Tamil Nadu and North East humid home-garden belts; common around Thrissur, Wayanad, Dakshina Kannada, Goa and Assam valley</x:v>
      </x:c>
      <x:c r="H61" s="31" t="str">
        <x:v>Plastic crate, corrugated fiberboard carton, bamboo basket, net bag, or loose lot</x:v>
      </x:c>
      <x:c r="I61" s="31" t="str">
        <x:v>₹/kg, ₹/crate, ₹/box, ₹/piece, or lot rate</x:v>
      </x:c>
      <x:c r="J61" s="31" t="str">
        <x:v>Most fresh fruit wholesale packs are 5-20 kg; capture actual net weight/count</x:v>
      </x:c>
      <x:c r="K61" s="31" t="str">
        <x:v>Normalize to ₹/kg wherever possible. If quoted by pack/count, divide by actual net kg or count and preserve raw quote unit.</x:v>
      </x:c>
      <x:c r="L61" s="31" t="str">
        <x:v>₹/kg</x:v>
      </x:c>
    </x:row>
    <x:row r="62" ht="74" customHeight="1">
      <x:c r="A62" s="14" t="str">
        <x:v>P0061</x:v>
      </x:c>
      <x:c r="B62" s="14" t="str">
        <x:v>FRUITS</x:v>
      </x:c>
      <x:c r="C62" s="14" t="str">
        <x:v>Breadfruit</x:v>
      </x:c>
      <x:c r="D62" s="14" t="str">
        <x:v>ब्रेडफ्रूट</x:v>
      </x:c>
      <x:c r="E62" s="14" t="str">
        <x:v>breadfruit, bakri chajhar</x:v>
      </x:c>
      <x:c r="F62" s="14" t="str">
        <x:v>Known varieties/types: seedless and seeded breadfruit local types; cultivar names less standardized</x:v>
      </x:c>
      <x:c r="G62" s="14" t="str">
        <x:v>Kerala: Thrissur, Kozhikode, Wayanad; Karnataka coastal belt; Tamil Nadu: Kanyakumari/Nilgiris; Andaman &amp; Nicobar and North East humid belts</x:v>
      </x:c>
      <x:c r="H62" s="31" t="str">
        <x:v>Loose count lots, bamboo basket, plastic crate, net sack, or truck lot</x:v>
      </x:c>
      <x:c r="I62" s="31" t="str">
        <x:v>₹/piece, ₹/dozen, ₹/100 pieces, ₹/kg, or ₹/lot</x:v>
      </x:c>
      <x:c r="J62" s="31" t="str">
        <x:v>Count and size vary; capture actual piece count and average piece weight if available</x:v>
      </x:c>
      <x:c r="K62" s="31" t="str">
        <x:v>Use count-based value for trade: total value = pieces × piece rate. Convert to ₹/kg only when average weight/net lot kg is known.</x:v>
      </x:c>
      <x:c r="L62" s="31" t="str">
        <x:v>₹/piece or ₹/kg</x:v>
      </x:c>
    </x:row>
    <x:row r="63" ht="74" customHeight="1">
      <x:c r="A63" s="14" t="str">
        <x:v>P0062</x:v>
      </x:c>
      <x:c r="B63" s="14" t="str">
        <x:v>FRUITS</x:v>
      </x:c>
      <x:c r="C63" s="14" t="str">
        <x:v>Cherry Red / Black</x:v>
      </x:c>
      <x:c r="D63" s="14" t="str">
        <x:v>चेरी</x:v>
      </x:c>
      <x:c r="E63" s="14" t="str">
        <x:v>cherry, red cherry, black cherry</x:v>
      </x:c>
      <x:c r="F63" s="14" t="str">
        <x:v>Known varieties/types: Mishri, Double, Bigarreau, Stella, Bing, local Kashmir cherry types</x:v>
      </x:c>
      <x:c r="G63" s="14" t="str">
        <x:v>Jammu &amp; Kashmir: Srinagar, Shopian, Baramulla, Ganderbal; Himachal Pradesh: Shimla, Kullu; Uttarakhand hill pockets</x:v>
      </x:c>
      <x:c r="H63" s="31" t="str">
        <x:v>Corrugated fiberboard carton, wooden crate/lug, plastic tray carton, or telescopic box</x:v>
      </x:c>
      <x:c r="I63" s="31" t="str">
        <x:v>₹/kg, ₹/box/carton, or count/size-grade box</x:v>
      </x:c>
      <x:c r="J63" s="31" t="str">
        <x:v>Usually 5-20 kg cartons/boxes depending on fruit and grade; capture box net weight and count size</x:v>
      </x:c>
      <x:c r="K63" s="31" t="str">
        <x:v>If quoted per box: ₹/kg = box price ÷ net kg. Also store size/count grade because box-to-box comparison can distort value.</x:v>
      </x:c>
      <x:c r="L63" s="31" t="str">
        <x:v>₹/kg</x:v>
      </x:c>
    </x:row>
    <x:row r="64" ht="74" customHeight="1">
      <x:c r="A64" s="14" t="str">
        <x:v>P0063</x:v>
      </x:c>
      <x:c r="B64" s="14" t="str">
        <x:v>FRUITS</x:v>
      </x:c>
      <x:c r="C64" s="14" t="str">
        <x:v>Custard Apple</x:v>
      </x:c>
      <x:c r="D64" s="14" t="str">
        <x:v>सीताफल / शरीफा</x:v>
      </x:c>
      <x:c r="E64" s="14" t="str">
        <x:v>seetaphal / sharifa, custard apple, sitaphal, shareefa</x:v>
      </x:c>
      <x:c r="F64" s="14" t="str">
        <x:v>Known varieties/types: Royal Delicious, Red Delicious, Golden Delicious, Ambri, Gala, Fuji, Granny Smith, Red Chief, Spur types</x:v>
      </x:c>
      <x:c r="G64" s="14" t="str">
        <x:v>Jammu &amp; Kashmir: Shopian, Anantnag, Pulwama, Kulgam, Baramulla; Himachal Pradesh: Kinnaur, Shimla, Kullu, Mandi; Uttarakhand: Nainital, Almora; Arunachal/Sikkim hill pockets</x:v>
      </x:c>
      <x:c r="H64" s="31" t="str">
        <x:v>Corrugated fiberboard carton, wooden crate/lug, plastic tray carton, or telescopic box</x:v>
      </x:c>
      <x:c r="I64" s="31" t="str">
        <x:v>₹/kg, ₹/box/carton, or count/size-grade box</x:v>
      </x:c>
      <x:c r="J64" s="31" t="str">
        <x:v>Usually 5-20 kg cartons/boxes depending on fruit and grade; capture box net weight and count size</x:v>
      </x:c>
      <x:c r="K64" s="31" t="str">
        <x:v>If quoted per box: ₹/kg = box price ÷ net kg. Also store size/count grade because box-to-box comparison can distort value.</x:v>
      </x:c>
      <x:c r="L64" s="31" t="str">
        <x:v>₹/kg</x:v>
      </x:c>
    </x:row>
    <x:row r="65" ht="74" customHeight="1">
      <x:c r="A65" s="14" t="str">
        <x:v>P0064</x:v>
      </x:c>
      <x:c r="B65" s="14" t="str">
        <x:v>FRUITS</x:v>
      </x:c>
      <x:c r="C65" s="14" t="str">
        <x:v>Dragon Fruit</x:v>
      </x:c>
      <x:c r="D65" s="14" t="str">
        <x:v>ड्रैगन फ्रूट / कमलम</x:v>
      </x:c>
      <x:c r="E65" s="14" t="str">
        <x:v>dragon fruit / kamalam, pitaya, dragon fruit</x:v>
      </x:c>
      <x:c r="F65" s="14" t="str">
        <x:v>Known varieties/types: white-flesh, red-flesh and yellow dragon fruit; Vietnam white and red hybrids</x:v>
      </x:c>
      <x:c r="G65" s="14" t="str">
        <x:v>Gujarat: Kutch, Banaskantha; Maharashtra: Pune, Solapur, Sangli; Karnataka: Bengaluru Rural, Kolar; Telangana/Andhra dry belts; Tamil Nadu and Odisha emerging farms</x:v>
      </x:c>
      <x:c r="H65" s="31" t="str">
        <x:v>Plastic crate, corrugated fiberboard carton, bamboo basket, or net/mesh bag for some citrus lots</x:v>
      </x:c>
      <x:c r="I65" s="31" t="str">
        <x:v>₹/kg, ₹/crate, ₹/box/carton, or ₹/piece for premium fruit</x:v>
      </x:c>
      <x:c r="J65" s="31" t="str">
        <x:v>Typically 5-20 kg crates/cartons depending on commodity and distance</x:v>
      </x:c>
      <x:c r="K65" s="31" t="str">
        <x:v>Normalize to ₹/kg. If quoted per crate/box, use actual net kg after tare. Keep grade/size because large-size fruit changes value.</x:v>
      </x:c>
      <x:c r="L65" s="31" t="str">
        <x:v>₹/kg</x:v>
      </x:c>
    </x:row>
    <x:row r="66" ht="74" customHeight="1">
      <x:c r="A66" s="14" t="str">
        <x:v>P0065</x:v>
      </x:c>
      <x:c r="B66" s="14" t="str">
        <x:v>FRUITS</x:v>
      </x:c>
      <x:c r="C66" s="14" t="str">
        <x:v>Garcinia</x:v>
      </x:c>
      <x:c r="D66" s="14" t="str">
        <x:v>गार्सिनिया / कोकम</x:v>
      </x:c>
      <x:c r="E66" s="14" t="str">
        <x:v>garcinia / kokum, kokum, garcinia</x:v>
      </x:c>
      <x:c r="F66" s="14" t="str">
        <x:v>Known varieties/types: kokum/Garcinia indica, Malabar tamarind/Garcinia cambogia, local Western Ghats types</x:v>
      </x:c>
      <x:c r="G66" s="14" t="str">
        <x:v>Western Ghats: Maharashtra Konkan/Ratnagiri-Sindhudurg, Goa, Karnataka Uttara/Dakshina Kannada, Kerala Wayanad/Idukki; kokum and Malabar tamarind belts</x:v>
      </x:c>
      <x:c r="H66" s="31" t="str">
        <x:v>Plastic crate, corrugated fiberboard carton, bamboo basket, net bag, or loose lot</x:v>
      </x:c>
      <x:c r="I66" s="31" t="str">
        <x:v>₹/kg, ₹/crate, ₹/box, ₹/piece, or lot rate</x:v>
      </x:c>
      <x:c r="J66" s="31" t="str">
        <x:v>Most fresh fruit wholesale packs are 5-20 kg; capture actual net weight/count</x:v>
      </x:c>
      <x:c r="K66" s="31" t="str">
        <x:v>Normalize to ₹/kg wherever possible. If quoted by pack/count, divide by actual net kg or count and preserve raw quote unit.</x:v>
      </x:c>
      <x:c r="L66" s="31" t="str">
        <x:v>₹/kg</x:v>
      </x:c>
    </x:row>
    <x:row r="67" ht="74" customHeight="1">
      <x:c r="A67" s="14" t="str">
        <x:v>P0066</x:v>
      </x:c>
      <x:c r="B67" s="14" t="str">
        <x:v>FRUITS</x:v>
      </x:c>
      <x:c r="C67" s="14" t="str">
        <x:v>Grapefruit</x:v>
      </x:c>
      <x:c r="D67" s="14" t="str">
        <x:v>चकोतरा</x:v>
      </x:c>
      <x:c r="E67" s="14" t="str">
        <x:v>chakotra, grapefruit</x:v>
      </x:c>
      <x:c r="F67" s="14" t="str">
        <x:v>Known varieties/types: Marsh Seedless, Ruby Red, local grapefruit/chakotra types</x:v>
      </x:c>
      <x:c r="G67" s="14" t="str">
        <x:v>Punjab/Rajasthan/Haryana citrus belts, North East hill citrus pockets and imported arrivals in metros</x:v>
      </x:c>
      <x:c r="H67" s="31" t="str">
        <x:v>Plastic crate, corrugated fiberboard carton, bamboo basket, or net/mesh bag for some citrus lots</x:v>
      </x:c>
      <x:c r="I67" s="31" t="str">
        <x:v>₹/kg, ₹/crate, ₹/box/carton, or ₹/piece for premium fruit</x:v>
      </x:c>
      <x:c r="J67" s="31" t="str">
        <x:v>Typically 5-20 kg crates/cartons depending on commodity and distance</x:v>
      </x:c>
      <x:c r="K67" s="31" t="str">
        <x:v>Normalize to ₹/kg. If quoted per crate/box, use actual net kg after tare. Keep grade/size because large-size fruit changes value.</x:v>
      </x:c>
      <x:c r="L67" s="31" t="str">
        <x:v>₹/kg</x:v>
      </x:c>
    </x:row>
    <x:row r="68" ht="74" customHeight="1">
      <x:c r="A68" s="14" t="str">
        <x:v>P0067</x:v>
      </x:c>
      <x:c r="B68" s="14" t="str">
        <x:v>FRUITS</x:v>
      </x:c>
      <x:c r="C68" s="14" t="str">
        <x:v>Grapes</x:v>
      </x:c>
      <x:c r="D68" s="14" t="str">
        <x:v>अंगूर</x:v>
      </x:c>
      <x:c r="E68" s="14" t="str">
        <x:v>angoor, grapes, green grapes, black grapes</x:v>
      </x:c>
      <x:c r="F68" s="14" t="str">
        <x:v>Known varieties/types: Thompson Seedless, Sonaka, Sharad Seedless, Flame Seedless, Manik Chaman, Anab-e-Shahi, Bangalore Blue</x:v>
      </x:c>
      <x:c r="G68" s="14" t="str">
        <x:v>Maharashtra: Nashik, Sangli, Solapur, Pune, Ahmednagar; Karnataka: Vijayapura, Bagalkot, Belagavi; Telangana: Rangareddy/Hyderabad belt; Tamil Nadu: Theni, Dindigul</x:v>
      </x:c>
      <x:c r="H68" s="31" t="str">
        <x:v>Ventilated plastic crate, punnet tray in carton, or corrugated carton</x:v>
      </x:c>
      <x:c r="I68" s="31" t="str">
        <x:v>₹/kg, ₹/crate, or ₹/carton</x:v>
      </x:c>
      <x:c r="J68" s="31" t="str">
        <x:v>Common grape packs are small punnets/cartons or 4-10 kg crates/cartons; capture net weight</x:v>
      </x:c>
      <x:c r="K68" s="31" t="str">
        <x:v>Normalize to ₹/kg. For carton/crate, divide by net kg and keep grade/bunch quality notes.</x:v>
      </x:c>
      <x:c r="L68" s="31" t="str">
        <x:v>₹/kg</x:v>
      </x:c>
    </x:row>
    <x:row r="69" ht="74" customHeight="1">
      <x:c r="A69" s="14" t="str">
        <x:v>P0068</x:v>
      </x:c>
      <x:c r="B69" s="14" t="str">
        <x:v>FRUITS</x:v>
      </x:c>
      <x:c r="C69" s="14" t="str">
        <x:v>Guava</x:v>
      </x:c>
      <x:c r="D69" s="14" t="str">
        <x:v>अमरूद</x:v>
      </x:c>
      <x:c r="E69" s="14" t="str">
        <x:v>amrood, guava, safeda</x:v>
      </x:c>
      <x:c r="F69" s="14" t="str">
        <x:v>Known varieties/types: Allahabad Safeda, Lucknow-49/Sardar, Lalit, Shweta, Arka Kiran, Taiwan Pink, Red Fleshed</x:v>
      </x:c>
      <x:c r="G69" s="14" t="str">
        <x:v>Uttar Pradesh: Prayagraj/Allahabad, Lucknow, Saharanpur, Meerut; Bihar: Muzaffarpur, Vaishali, Patna; Madhya Pradesh: Jabalpur, Chhindwara; Maharashtra: Pune, Nashik; Karnataka: Bengaluru Rural, Kolar; Andhra/Telangana and Gujarat pockets</x:v>
      </x:c>
      <x:c r="H69" s="31" t="str">
        <x:v>Plastic crate, corrugated fiberboard carton, bamboo basket, or net/mesh bag for some citrus lots</x:v>
      </x:c>
      <x:c r="I69" s="31" t="str">
        <x:v>₹/kg, ₹/crate, ₹/box/carton, or ₹/piece for premium fruit</x:v>
      </x:c>
      <x:c r="J69" s="31" t="str">
        <x:v>Typically 5-20 kg crates/cartons depending on commodity and distance</x:v>
      </x:c>
      <x:c r="K69" s="31" t="str">
        <x:v>Normalize to ₹/kg. If quoted per crate/box, use actual net kg after tare. Keep grade/size because large-size fruit changes value.</x:v>
      </x:c>
      <x:c r="L69" s="31" t="str">
        <x:v>₹/kg</x:v>
      </x:c>
    </x:row>
    <x:row r="70" ht="74" customHeight="1">
      <x:c r="A70" s="14" t="str">
        <x:v>P0069</x:v>
      </x:c>
      <x:c r="B70" s="14" t="str">
        <x:v>FRUITS</x:v>
      </x:c>
      <x:c r="C70" s="14" t="str">
        <x:v>Jackfruit</x:v>
      </x:c>
      <x:c r="D70" s="14" t="str">
        <x:v>कटहल</x:v>
      </x:c>
      <x:c r="E70" s="14" t="str">
        <x:v>kathal, jackfruit</x:v>
      </x:c>
      <x:c r="F70" s="14" t="str">
        <x:v>Known varieties/types: Singapore Jack, Muttom Varikka, Rudrakshi, local firm-flesh and soft-flesh types</x:v>
      </x:c>
      <x:c r="G70" s="14" t="str">
        <x:v>Kerala: Thrissur, Ernakulam, Kozhikode, Wayanad; Karnataka: Dakshina Kannada, Uttara Kannada, Hassan; Tamil Nadu: Panruti/Cuddalore, Dindigul; West Bengal/Assam/Odisha humid belts</x:v>
      </x:c>
      <x:c r="H70" s="31" t="str">
        <x:v>Loose count lots, bamboo basket, plastic crate, net sack, or truck lot</x:v>
      </x:c>
      <x:c r="I70" s="31" t="str">
        <x:v>₹/piece, ₹/dozen, ₹/100 pieces, ₹/kg, or ₹/lot</x:v>
      </x:c>
      <x:c r="J70" s="31" t="str">
        <x:v>Count and size vary; capture actual piece count and average piece weight if available</x:v>
      </x:c>
      <x:c r="K70" s="31" t="str">
        <x:v>Use count-based value for trade: total value = pieces × piece rate. Convert to ₹/kg only when average weight/net lot kg is known.</x:v>
      </x:c>
      <x:c r="L70" s="31" t="str">
        <x:v>₹/piece or ₹/kg</x:v>
      </x:c>
    </x:row>
    <x:row r="71" ht="74" customHeight="1">
      <x:c r="A71" s="14" t="str">
        <x:v>P0070</x:v>
      </x:c>
      <x:c r="B71" s="14" t="str">
        <x:v>FRUITS</x:v>
      </x:c>
      <x:c r="C71" s="14" t="str">
        <x:v>Jamun</x:v>
      </x:c>
      <x:c r="D71" s="14" t="str">
        <x:v>जामुन</x:v>
      </x:c>
      <x:c r="E71" s="14" t="str">
        <x:v>jamun, java plum, black plum</x:v>
      </x:c>
      <x:c r="F71" s="14" t="str">
        <x:v>Known varieties/types: Rajendra Jamun-1, Goma Priyanka, local jamun landraces</x:v>
      </x:c>
      <x:c r="G71" s="14" t="str">
        <x:v>Uttar Pradesh: Lucknow, Varanasi, Meerut; Maharashtra: Pune, Nashik; Madhya Pradesh: Indore, Jabalpur; Rajasthan/Gujarat dry zones; scattered pan-India orchards</x:v>
      </x:c>
      <x:c r="H71" s="31" t="str">
        <x:v>Plastic crate, corrugated fiberboard carton, bamboo basket, or net/mesh bag for some citrus lots</x:v>
      </x:c>
      <x:c r="I71" s="31" t="str">
        <x:v>₹/kg, ₹/crate, ₹/box/carton, or ₹/piece for premium fruit</x:v>
      </x:c>
      <x:c r="J71" s="31" t="str">
        <x:v>Typically 5-20 kg crates/cartons depending on commodity and distance</x:v>
      </x:c>
      <x:c r="K71" s="31" t="str">
        <x:v>Normalize to ₹/kg. If quoted per crate/box, use actual net kg after tare. Keep grade/size because large-size fruit changes value.</x:v>
      </x:c>
      <x:c r="L71" s="31" t="str">
        <x:v>₹/kg</x:v>
      </x:c>
    </x:row>
    <x:row r="72" ht="74" customHeight="1">
      <x:c r="A72" s="14" t="str">
        <x:v>P0071</x:v>
      </x:c>
      <x:c r="B72" s="14" t="str">
        <x:v>FRUITS</x:v>
      </x:c>
      <x:c r="C72" s="14" t="str">
        <x:v>Kinnow</x:v>
      </x:c>
      <x:c r="D72" s="14" t="str">
        <x:v>किन्नू</x:v>
      </x:c>
      <x:c r="E72" s="14" t="str">
        <x:v>kinnow, kinnu</x:v>
      </x:c>
      <x:c r="F72" s="14" t="str">
        <x:v>Known varieties/types: Kinnow mandarin, PAU Kinnow selections, kinnow waxed/export grades</x:v>
      </x:c>
      <x:c r="G72" s="14" t="str">
        <x:v>Punjab: Abohar-Fazilka, Hoshiarpur, Muktsar; Rajasthan: Ganganagar, Hanumangarh; Haryana: Sirsa, Hisar; Jammu foothill belts</x:v>
      </x:c>
      <x:c r="H72" s="31" t="str">
        <x:v>Plastic crate, corrugated fiberboard carton, bamboo basket, or net/mesh bag for some citrus lots</x:v>
      </x:c>
      <x:c r="I72" s="31" t="str">
        <x:v>₹/kg, ₹/crate, ₹/box/carton, or ₹/piece for premium fruit</x:v>
      </x:c>
      <x:c r="J72" s="31" t="str">
        <x:v>Typically 5-20 kg crates/cartons depending on commodity and distance</x:v>
      </x:c>
      <x:c r="K72" s="31" t="str">
        <x:v>Normalize to ₹/kg. If quoted per crate/box, use actual net kg after tare. Keep grade/size because large-size fruit changes value.</x:v>
      </x:c>
      <x:c r="L72" s="31" t="str">
        <x:v>₹/kg</x:v>
      </x:c>
    </x:row>
    <x:row r="73" ht="74" customHeight="1">
      <x:c r="A73" s="14" t="str">
        <x:v>P0072</x:v>
      </x:c>
      <x:c r="B73" s="14" t="str">
        <x:v>FRUITS</x:v>
      </x:c>
      <x:c r="C73" s="14" t="str">
        <x:v>Kiwi</x:v>
      </x:c>
      <x:c r="D73" s="14" t="str">
        <x:v>कीवी</x:v>
      </x:c>
      <x:c r="E73" s="14" t="str">
        <x:v>kiwi, kiwi fruit</x:v>
      </x:c>
      <x:c r="F73" s="14" t="str">
        <x:v>Known varieties/types: Hayward, Allison, Bruno, Monty, Abbott</x:v>
      </x:c>
      <x:c r="G73" s="14" t="str">
        <x:v>Arunachal Pradesh: Lower Subansiri, West Kameng; Himachal Pradesh: Solan, Kinnaur; Uttarakhand: Nainital; Sikkim and Nagaland hill belts</x:v>
      </x:c>
      <x:c r="H73" s="31" t="str">
        <x:v>Corrugated fiberboard carton, wooden crate/lug, plastic tray carton, or telescopic box</x:v>
      </x:c>
      <x:c r="I73" s="31" t="str">
        <x:v>₹/kg, ₹/box/carton, or count/size-grade box</x:v>
      </x:c>
      <x:c r="J73" s="31" t="str">
        <x:v>Usually 5-20 kg cartons/boxes depending on fruit and grade; capture box net weight and count size</x:v>
      </x:c>
      <x:c r="K73" s="31" t="str">
        <x:v>If quoted per box: ₹/kg = box price ÷ net kg. Also store size/count grade because box-to-box comparison can distort value.</x:v>
      </x:c>
      <x:c r="L73" s="31" t="str">
        <x:v>₹/kg</x:v>
      </x:c>
    </x:row>
    <x:row r="74" ht="74" customHeight="1">
      <x:c r="A74" s="14" t="str">
        <x:v>P0073</x:v>
      </x:c>
      <x:c r="B74" s="14" t="str">
        <x:v>FRUITS</x:v>
      </x:c>
      <x:c r="C74" s="14" t="str">
        <x:v>Lady Finger Banana</x:v>
      </x:c>
      <x:c r="D74" s="14" t="str">
        <x:v>लेडी फिंगर केला</x:v>
      </x:c>
      <x:c r="E74" s="14" t="str">
        <x:v>lady finger kela, lady finger banana</x:v>
      </x:c>
      <x:c r="F74" s="14" t="str">
        <x:v>Known varieties/types: Grand Naine/G9, Dwarf Cavendish, Robusta, Rasthali, Poovan, Nendran, Red Banana, Yelakki, Ney Poovan, Monthan/raw banana</x:v>
      </x:c>
      <x:c r="G74" s="14" t="str">
        <x:v>Maharashtra: Jalgaon, Nandurbar, Dhule; Andhra Pradesh: Anantapur, Kadapa, East Godavari; Tamil Nadu: Theni, Tiruchirappalli, Coimbatore, Erode; Gujarat: Bharuch, Narmada, Anand; Karnataka: Mysuru, Bagalkot, Belagavi; Bihar: Vaishali, Katihar; Assam/North East pockets</x:v>
      </x:c>
      <x:c r="H74" s="31" t="str">
        <x:v>Bunch/stem, loose hand, plastic crate, or carton for graded bananas</x:v>
      </x:c>
      <x:c r="I74" s="31" t="str">
        <x:v>₹/kg, ₹/dozen, ₹/bunch/stem, or ₹/crate</x:v>
      </x:c>
      <x:c r="J74" s="31" t="str">
        <x:v>Bunch/stem weight varies widely; carton/crate weights are market-specific</x:v>
      </x:c>
      <x:c r="K74" s="31" t="str">
        <x:v>If sold by dozen/bunch, value by count first. For cross-market analytics, weigh sample lot and normalize: ₹/kg = lot price ÷ net kg.</x:v>
      </x:c>
      <x:c r="L74" s="31" t="str">
        <x:v>₹/kg plus ₹/dozen</x:v>
      </x:c>
    </x:row>
    <x:row r="75" ht="74" customHeight="1">
      <x:c r="A75" s="14" t="str">
        <x:v>P0074</x:v>
      </x:c>
      <x:c r="B75" s="14" t="str">
        <x:v>FRUITS</x:v>
      </x:c>
      <x:c r="C75" s="14" t="str">
        <x:v>Lemon</x:v>
      </x:c>
      <x:c r="D75" s="14" t="str">
        <x:v>नींबू</x:v>
      </x:c>
      <x:c r="E75" s="14" t="str">
        <x:v>nimbu, lemon, lime</x:v>
      </x:c>
      <x:c r="F75" s="14" t="str">
        <x:v>Known varieties/types: Kagzi lime, Assam lemon, Eureka lemon, Baramasi lemon, acid lime types</x:v>
      </x:c>
      <x:c r="G75" s="14" t="str">
        <x:v>Andhra Pradesh: Nellore, Kadapa; Gujarat: Kheda, Anand, Mehsana; Maharashtra: Akola, Jalgaon; Rajasthan: Jaipur, Jodhpur; Assam lemon belts in Dibrugarh/Tinsukia; Himachal galgal belts</x:v>
      </x:c>
      <x:c r="H75" s="31" t="str">
        <x:v>Plastic crate, corrugated fiberboard carton, bamboo basket, or net/mesh bag for some citrus lots</x:v>
      </x:c>
      <x:c r="I75" s="31" t="str">
        <x:v>₹/kg, ₹/crate, ₹/box/carton, or ₹/piece for premium fruit</x:v>
      </x:c>
      <x:c r="J75" s="31" t="str">
        <x:v>Typically 5-20 kg crates/cartons depending on commodity and distance</x:v>
      </x:c>
      <x:c r="K75" s="31" t="str">
        <x:v>Normalize to ₹/kg. If quoted per crate/box, use actual net kg after tare. Keep grade/size because large-size fruit changes value.</x:v>
      </x:c>
      <x:c r="L75" s="31" t="str">
        <x:v>₹/kg</x:v>
      </x:c>
    </x:row>
    <x:row r="76" ht="74" customHeight="1">
      <x:c r="A76" s="14" t="str">
        <x:v>P0075</x:v>
      </x:c>
      <x:c r="B76" s="14" t="str">
        <x:v>FRUITS</x:v>
      </x:c>
      <x:c r="C76" s="14" t="str">
        <x:v>Litchi</x:v>
      </x:c>
      <x:c r="D76" s="14" t="str">
        <x:v>लीची</x:v>
      </x:c>
      <x:c r="E76" s="14" t="str">
        <x:v>lichi, lychee, litchi</x:v>
      </x:c>
      <x:c r="F76" s="14" t="str">
        <x:v>Known varieties/types: Shahi, China, Bedana, Rose Scented, Purbi, Dehradun</x:v>
      </x:c>
      <x:c r="G76" s="14" t="str">
        <x:v>Bihar: Muzaffarpur, Vaishali, Samastipur, East Champaran; Uttarakhand: Dehradun; West Bengal: Malda, Murshidabad; Assam and Tripura pockets; Karnataka: Kodagu niche off-season trials</x:v>
      </x:c>
      <x:c r="H76" s="31" t="str">
        <x:v>Plastic crate, corrugated fiberboard carton, bamboo basket, or net/mesh bag for some citrus lots</x:v>
      </x:c>
      <x:c r="I76" s="31" t="str">
        <x:v>₹/kg, ₹/crate, ₹/box/carton, or ₹/piece for premium fruit</x:v>
      </x:c>
      <x:c r="J76" s="31" t="str">
        <x:v>Typically 5-20 kg crates/cartons depending on commodity and distance</x:v>
      </x:c>
      <x:c r="K76" s="31" t="str">
        <x:v>Normalize to ₹/kg. If quoted per crate/box, use actual net kg after tare. Keep grade/size because large-size fruit changes value.</x:v>
      </x:c>
      <x:c r="L76" s="31" t="str">
        <x:v>₹/kg</x:v>
      </x:c>
    </x:row>
    <x:row r="77" ht="74" customHeight="1">
      <x:c r="A77" s="14" t="str">
        <x:v>P0076</x:v>
      </x:c>
      <x:c r="B77" s="14" t="str">
        <x:v>FRUITS</x:v>
      </x:c>
      <x:c r="C77" s="14" t="str">
        <x:v>Mango</x:v>
      </x:c>
      <x:c r="D77" s="14" t="str">
        <x:v>आम</x:v>
      </x:c>
      <x:c r="E77" s="14" t="str">
        <x:v>aam, mango, alphonso, kesar, dasheri, langra, chaunsa</x:v>
      </x:c>
      <x:c r="F77" s="14" t="str">
        <x:v>Known varieties/types: Alphonso/Hapus, Kesar, Dasheri, Langra, Chausa, Banganapalli, Totapuri, Neelam, Safeda, Pairi, Mallika, Amrapali, Zardalu, Himsagar</x:v>
      </x:c>
      <x:c r="G77" s="14" t="str">
        <x:v>Uttar Pradesh: Lucknow-Malihabad, Saharanpur, Varanasi, Meerut; Maharashtra: Ratnagiri, Sindhudurg, Nashik, Pune; Gujarat: Junagadh, Gir Somnath, Kutch, Valsad; Andhra Pradesh: Chittoor, Krishna, Vizianagaram; Telangana: Mahabubnagar, Rangareddy; Karnataka: Kolar, Ramanagara; Bihar: Bhagalpur; West Bengal: Malda, Murshidabad</x:v>
      </x:c>
      <x:c r="H77" s="31" t="str">
        <x:v>Corrugated fiberboard mango box/carton, plastic crate, or wooden crate for local trade</x:v>
      </x:c>
      <x:c r="I77" s="31" t="str">
        <x:v>₹/kg, ₹/box, ₹/peti, or ₹/dozen for premium lots</x:v>
      </x:c>
      <x:c r="J77" s="31" t="str">
        <x:v>Common mango boxes are often 4-5 kg or 10 kg; local peti/crate weights vary</x:v>
      </x:c>
      <x:c r="K77" s="31" t="str">
        <x:v>Normalize to ₹/kg. If quoted by box/peti/dozen, capture net weight or count; ₹/kg = pack price ÷ net kg. Keep variety and grade mandatory.</x:v>
      </x:c>
      <x:c r="L77" s="31" t="str">
        <x:v>₹/kg</x:v>
      </x:c>
    </x:row>
    <x:row r="78" ht="74" customHeight="1">
      <x:c r="A78" s="14" t="str">
        <x:v>P0077</x:v>
      </x:c>
      <x:c r="B78" s="14" t="str">
        <x:v>FRUITS</x:v>
      </x:c>
      <x:c r="C78" s="14" t="str">
        <x:v>Mangosteen</x:v>
      </x:c>
      <x:c r="D78" s="14" t="str">
        <x:v>मैंगोस्टीन</x:v>
      </x:c>
      <x:c r="E78" s="14" t="str">
        <x:v>mangosteen</x:v>
      </x:c>
      <x:c r="F78" s="14" t="str">
        <x:v>Known varieties/types: Alphonso/Hapus, Kesar, Dasheri, Langra, Chausa, Banganapalli, Totapuri, Neelam, Safeda, Pairi, Mallika, Amrapali, Zardalu, Himsagar</x:v>
      </x:c>
      <x:c r="G78" s="14" t="str">
        <x:v>Uttar Pradesh: Lucknow-Malihabad, Saharanpur, Varanasi, Meerut; Maharashtra: Ratnagiri, Sindhudurg, Nashik, Pune; Gujarat: Junagadh, Gir Somnath, Kutch, Valsad; Andhra Pradesh: Chittoor, Krishna, Vizianagaram; Telangana: Mahabubnagar, Rangareddy; Karnataka: Kolar, Ramanagara; Bihar: Bhagalpur; West Bengal: Malda, Murshidabad</x:v>
      </x:c>
      <x:c r="H78" s="31" t="str">
        <x:v>Corrugated fiberboard mango box/carton, plastic crate, or wooden crate for local trade</x:v>
      </x:c>
      <x:c r="I78" s="31" t="str">
        <x:v>₹/kg, ₹/box, ₹/peti, or ₹/dozen for premium lots</x:v>
      </x:c>
      <x:c r="J78" s="31" t="str">
        <x:v>Common mango boxes are often 4-5 kg or 10 kg; local peti/crate weights vary</x:v>
      </x:c>
      <x:c r="K78" s="31" t="str">
        <x:v>Normalize to ₹/kg. If quoted by box/peti/dozen, capture net weight or count; ₹/kg = pack price ÷ net kg. Keep variety and grade mandatory.</x:v>
      </x:c>
      <x:c r="L78" s="31" t="str">
        <x:v>₹/kg</x:v>
      </x:c>
    </x:row>
    <x:row r="79" ht="74" customHeight="1">
      <x:c r="A79" s="14" t="str">
        <x:v>P0078</x:v>
      </x:c>
      <x:c r="B79" s="14" t="str">
        <x:v>FRUITS</x:v>
      </x:c>
      <x:c r="C79" s="14" t="str">
        <x:v>Mootty Fruit</x:v>
      </x:c>
      <x:c r="D79" s="14" t="str">
        <x:v>मूटी फल</x:v>
      </x:c>
      <x:c r="E79" s="14" t="str">
        <x:v>mootty phal, mootty fruit</x:v>
      </x:c>
      <x:c r="F79" s="14" t="str">
        <x:v>Known varieties/types: local Western Ghats mootty/Artocarpus fruit; cultivar names not standardized</x:v>
      </x:c>
      <x:c r="G79" s="14" t="str">
        <x:v>Western Ghats humid forest/orchard pockets in Kerala, Karnataka and Tamil Nadu; niche/local arrivals from Wayanad, Kodagu, Dakshina Kannada and Nilgiris</x:v>
      </x:c>
      <x:c r="H79" s="31" t="str">
        <x:v>Plastic crate, corrugated fiberboard carton, bamboo basket, net bag, or loose lot</x:v>
      </x:c>
      <x:c r="I79" s="31" t="str">
        <x:v>₹/kg, ₹/crate, ₹/box, ₹/piece, or lot rate</x:v>
      </x:c>
      <x:c r="J79" s="31" t="str">
        <x:v>Most fresh fruit wholesale packs are 5-20 kg; capture actual net weight/count</x:v>
      </x:c>
      <x:c r="K79" s="31" t="str">
        <x:v>Normalize to ₹/kg wherever possible. If quoted by pack/count, divide by actual net kg or count and preserve raw quote unit.</x:v>
      </x:c>
      <x:c r="L79" s="31" t="str">
        <x:v>₹/kg</x:v>
      </x:c>
    </x:row>
    <x:row r="80" ht="74" customHeight="1">
      <x:c r="A80" s="14" t="str">
        <x:v>P0079</x:v>
      </x:c>
      <x:c r="B80" s="14" t="str">
        <x:v>FRUITS</x:v>
      </x:c>
      <x:c r="C80" s="14" t="str">
        <x:v>Muskmelon</x:v>
      </x:c>
      <x:c r="D80" s="14" t="str">
        <x:v>खरबूजा</x:v>
      </x:c>
      <x:c r="E80" s="14" t="str">
        <x:v>kharbooja, musk melon, cantaloupe, kharbuja</x:v>
      </x:c>
      <x:c r="F80" s="14" t="str">
        <x:v>Known varieties/types: Hara Madhu, Punjab Sunehri, Pusa Sharbati, Durgapura Madhu, hybrid sarda/cantaloupe types</x:v>
      </x:c>
      <x:c r="G80" s="14" t="str">
        <x:v>Punjab/Haryana: riverbed and peri-urban belts around Ludhiana, Karnal, Sonipat; Uttar Pradesh: Agra, Mathura, Kanpur river belts; Rajasthan: Jaipur, Alwar; Maharashtra/Gujarat irrigated belts</x:v>
      </x:c>
      <x:c r="H80" s="31" t="str">
        <x:v>Loose bulk, field crate, or truck lot; rarely boxed in local wholesale</x:v>
      </x:c>
      <x:c r="I80" s="31" t="str">
        <x:v>₹/kg, ₹/piece, or lot/truck rate</x:v>
      </x:c>
      <x:c r="J80" s="31" t="str">
        <x:v>Sold loose by weight or piece; capture net lot weight and size grade</x:v>
      </x:c>
      <x:c r="K80" s="31" t="str">
        <x:v>Prefer ₹/kg. If per piece/lot, convert only after weighing: ₹/kg = total lot price ÷ net kg.</x:v>
      </x:c>
      <x:c r="L80" s="31" t="str">
        <x:v>₹/kg</x:v>
      </x:c>
    </x:row>
    <x:row r="81" ht="74" customHeight="1">
      <x:c r="A81" s="14" t="str">
        <x:v>P0080</x:v>
      </x:c>
      <x:c r="B81" s="14" t="str">
        <x:v>FRUITS</x:v>
      </x:c>
      <x:c r="C81" s="14" t="str">
        <x:v>Mysore Banana</x:v>
      </x:c>
      <x:c r="D81" s="14" t="str">
        <x:v>मैसूर केला</x:v>
      </x:c>
      <x:c r="E81" s="14" t="str">
        <x:v>mysore kela, mysore banana</x:v>
      </x:c>
      <x:c r="F81" s="14" t="str">
        <x:v>Known varieties/types: Grand Naine/G9, Dwarf Cavendish, Robusta, Rasthali, Poovan, Nendran, Red Banana, Yelakki, Ney Poovan, Monthan/raw banana</x:v>
      </x:c>
      <x:c r="G81" s="14" t="str">
        <x:v>Maharashtra: Jalgaon, Nandurbar, Dhule; Andhra Pradesh: Anantapur, Kadapa, East Godavari; Tamil Nadu: Theni, Tiruchirappalli, Coimbatore, Erode; Gujarat: Bharuch, Narmada, Anand; Karnataka: Mysuru, Bagalkot, Belagavi; Bihar: Vaishali, Katihar; Assam/North East pockets</x:v>
      </x:c>
      <x:c r="H81" s="31" t="str">
        <x:v>Bunch/stem, loose hand, plastic crate, or carton for graded bananas</x:v>
      </x:c>
      <x:c r="I81" s="31" t="str">
        <x:v>₹/kg, ₹/dozen, ₹/bunch/stem, or ₹/crate</x:v>
      </x:c>
      <x:c r="J81" s="31" t="str">
        <x:v>Bunch/stem weight varies widely; carton/crate weights are market-specific</x:v>
      </x:c>
      <x:c r="K81" s="31" t="str">
        <x:v>If sold by dozen/bunch, value by count first. For cross-market analytics, weigh sample lot and normalize: ₹/kg = lot price ÷ net kg.</x:v>
      </x:c>
      <x:c r="L81" s="31" t="str">
        <x:v>₹/kg plus ₹/dozen</x:v>
      </x:c>
    </x:row>
    <x:row r="82" ht="74" customHeight="1">
      <x:c r="A82" s="14" t="str">
        <x:v>P0081</x:v>
      </x:c>
      <x:c r="B82" s="14" t="str">
        <x:v>FRUITS</x:v>
      </x:c>
      <x:c r="C82" s="14" t="str">
        <x:v>Orange</x:v>
      </x:c>
      <x:c r="D82" s="14" t="str">
        <x:v>संतरा</x:v>
      </x:c>
      <x:c r="E82" s="14" t="str">
        <x:v>santra, orange, narangi</x:v>
      </x:c>
      <x:c r="F82" s="14" t="str">
        <x:v>Known varieties/types: Nagpur Mandarin, Kinnow, Khasi Mandarin, Coorg Mandarin, Darjeeling Mandarin</x:v>
      </x:c>
      <x:c r="G82" s="14" t="str">
        <x:v>Maharashtra: Nagpur, Amravati, Wardha; Madhya Pradesh: Chhindwara; Assam: Tinsukia, Dibrugarh; Meghalaya/Manipur hill mandarin belts; Karnataka Coorg mandarin pockets</x:v>
      </x:c>
      <x:c r="H82" s="31" t="str">
        <x:v>Plastic crate, corrugated fiberboard carton, bamboo basket, or net/mesh bag for some citrus lots</x:v>
      </x:c>
      <x:c r="I82" s="31" t="str">
        <x:v>₹/kg, ₹/crate, ₹/box/carton, or ₹/piece for premium fruit</x:v>
      </x:c>
      <x:c r="J82" s="31" t="str">
        <x:v>Typically 5-20 kg crates/cartons depending on commodity and distance</x:v>
      </x:c>
      <x:c r="K82" s="31" t="str">
        <x:v>Normalize to ₹/kg. If quoted per crate/box, use actual net kg after tare. Keep grade/size because large-size fruit changes value.</x:v>
      </x:c>
      <x:c r="L82" s="31" t="str">
        <x:v>₹/kg</x:v>
      </x:c>
    </x:row>
    <x:row r="83" ht="74" customHeight="1">
      <x:c r="A83" s="14" t="str">
        <x:v>P0082</x:v>
      </x:c>
      <x:c r="B83" s="14" t="str">
        <x:v>FRUITS</x:v>
      </x:c>
      <x:c r="C83" s="14" t="str">
        <x:v>Papaya</x:v>
      </x:c>
      <x:c r="D83" s="14" t="str">
        <x:v>पपीता</x:v>
      </x:c>
      <x:c r="E83" s="14" t="str">
        <x:v>papita, papaya</x:v>
      </x:c>
      <x:c r="F83" s="14" t="str">
        <x:v>Known varieties/types: Red Lady, Pusa Delicious, Pusa Nanha, Coorg Honey Dew, Surya, local papaya types</x:v>
      </x:c>
      <x:c r="G83" s="14" t="str">
        <x:v>Andhra Pradesh: Anantapur, Kadapa, Chittoor; Gujarat: Kutch, Anand, Vadodara; Maharashtra: Jalgaon, Pune; Karnataka: Bengaluru Rural, Kolar; Telangana: Rangareddy, Mahabubnagar; Tamil Nadu: Coimbatore, Erode</x:v>
      </x:c>
      <x:c r="H83" s="31" t="str">
        <x:v>Plastic crate, corrugated fiberboard carton, bamboo basket, or net/mesh bag for some citrus lots</x:v>
      </x:c>
      <x:c r="I83" s="31" t="str">
        <x:v>₹/kg, ₹/crate, ₹/box/carton, or ₹/piece for premium fruit</x:v>
      </x:c>
      <x:c r="J83" s="31" t="str">
        <x:v>Typically 5-20 kg crates/cartons depending on commodity and distance</x:v>
      </x:c>
      <x:c r="K83" s="31" t="str">
        <x:v>Normalize to ₹/kg. If quoted per crate/box, use actual net kg after tare. Keep grade/size because large-size fruit changes value.</x:v>
      </x:c>
      <x:c r="L83" s="31" t="str">
        <x:v>₹/kg</x:v>
      </x:c>
    </x:row>
    <x:row r="84" ht="74" customHeight="1">
      <x:c r="A84" s="14" t="str">
        <x:v>P0083</x:v>
      </x:c>
      <x:c r="B84" s="14" t="str">
        <x:v>FRUITS</x:v>
      </x:c>
      <x:c r="C84" s="14" t="str">
        <x:v>Raw Papaya</x:v>
      </x:c>
      <x:c r="D84" s="14" t="str">
        <x:v>कच्चा पपीता</x:v>
      </x:c>
      <x:c r="E84" s="14" t="str">
        <x:v>kaccha papita, raw papaya</x:v>
      </x:c>
      <x:c r="F84" s="14" t="str">
        <x:v>Known varieties/types: Red Lady, Pusa Delicious, Pusa Nanha, Coorg Honey Dew, Surya, local papaya types</x:v>
      </x:c>
      <x:c r="G84" s="14" t="str">
        <x:v>Andhra Pradesh: Anantapur, Kadapa, Chittoor; Gujarat: Kutch, Anand, Vadodara; Maharashtra: Jalgaon, Pune; Karnataka: Bengaluru Rural, Kolar; Telangana: Rangareddy, Mahabubnagar; Tamil Nadu: Coimbatore, Erode</x:v>
      </x:c>
      <x:c r="H84" s="31" t="str">
        <x:v>Plastic crate, corrugated fiberboard carton, bamboo basket, or net/mesh bag for some citrus lots</x:v>
      </x:c>
      <x:c r="I84" s="31" t="str">
        <x:v>₹/kg, ₹/crate, ₹/box/carton, or ₹/piece for premium fruit</x:v>
      </x:c>
      <x:c r="J84" s="31" t="str">
        <x:v>Typically 5-20 kg crates/cartons depending on commodity and distance</x:v>
      </x:c>
      <x:c r="K84" s="31" t="str">
        <x:v>Normalize to ₹/kg. If quoted per crate/box, use actual net kg after tare. Keep grade/size because large-size fruit changes value.</x:v>
      </x:c>
      <x:c r="L84" s="31" t="str">
        <x:v>₹/kg</x:v>
      </x:c>
    </x:row>
    <x:row r="85" ht="74" customHeight="1">
      <x:c r="A85" s="14" t="str">
        <x:v>P0084</x:v>
      </x:c>
      <x:c r="B85" s="14" t="str">
        <x:v>FRUITS</x:v>
      </x:c>
      <x:c r="C85" s="14" t="str">
        <x:v>Passion Fruit</x:v>
      </x:c>
      <x:c r="D85" s="14" t="str">
        <x:v>पैशन फ्रूट / कृष्णा फल</x:v>
      </x:c>
      <x:c r="E85" s="14" t="str">
        <x:v>passion fruit / krishna phal, passion fruit</x:v>
      </x:c>
      <x:c r="F85" s="14" t="str">
        <x:v>Known varieties/types: purple passion fruit, yellow passion fruit, Kaveri hybrid, local hill selections</x:v>
      </x:c>
      <x:c r="G85" s="14" t="str">
        <x:v>North East: Mizoram, Manipur, Nagaland, Meghalaya; Sikkim; Himachal/Uttarakhand hill pockets; Karnataka Kodagu and Kerala Wayanad niche orchards</x:v>
      </x:c>
      <x:c r="H85" s="31" t="str">
        <x:v>Plastic crate, corrugated fiberboard carton, bamboo basket, or net/mesh bag for some citrus lots</x:v>
      </x:c>
      <x:c r="I85" s="31" t="str">
        <x:v>₹/kg, ₹/crate, ₹/box/carton, or ₹/piece for premium fruit</x:v>
      </x:c>
      <x:c r="J85" s="31" t="str">
        <x:v>Typically 5-20 kg crates/cartons depending on commodity and distance</x:v>
      </x:c>
      <x:c r="K85" s="31" t="str">
        <x:v>Normalize to ₹/kg. If quoted per crate/box, use actual net kg after tare. Keep grade/size because large-size fruit changes value.</x:v>
      </x:c>
      <x:c r="L85" s="31" t="str">
        <x:v>₹/kg</x:v>
      </x:c>
    </x:row>
    <x:row r="86" ht="74" customHeight="1">
      <x:c r="A86" s="14" t="str">
        <x:v>P0085</x:v>
      </x:c>
      <x:c r="B86" s="14" t="str">
        <x:v>FRUITS</x:v>
      </x:c>
      <x:c r="C86" s="14" t="str">
        <x:v>Peach</x:v>
      </x:c>
      <x:c r="D86" s="14" t="str">
        <x:v>आड़ू</x:v>
      </x:c>
      <x:c r="E86" s="14" t="str">
        <x:v>aadu, peach</x:v>
      </x:c>
      <x:c r="F86" s="14" t="str">
        <x:v>Known varieties/types: Shan-e-Punjab, Flordasun, Prabhat, local hill peach types</x:v>
      </x:c>
      <x:c r="G86" s="14" t="str">
        <x:v>Himachal Pradesh: Solan, Shimla, Kullu; Jammu &amp; Kashmir: Srinagar, Budgam; Uttarakhand: Nainital, Almora; Punjab hill/foothill pockets</x:v>
      </x:c>
      <x:c r="H86" s="31" t="str">
        <x:v>Corrugated fiberboard carton, wooden crate/lug, plastic tray carton, or telescopic box</x:v>
      </x:c>
      <x:c r="I86" s="31" t="str">
        <x:v>₹/kg, ₹/box/carton, or count/size-grade box</x:v>
      </x:c>
      <x:c r="J86" s="31" t="str">
        <x:v>Usually 5-20 kg cartons/boxes depending on fruit and grade; capture box net weight and count size</x:v>
      </x:c>
      <x:c r="K86" s="31" t="str">
        <x:v>If quoted per box: ₹/kg = box price ÷ net kg. Also store size/count grade because box-to-box comparison can distort value.</x:v>
      </x:c>
      <x:c r="L86" s="31" t="str">
        <x:v>₹/kg</x:v>
      </x:c>
    </x:row>
    <x:row r="87" ht="74" customHeight="1">
      <x:c r="A87" s="14" t="str">
        <x:v>P0086</x:v>
      </x:c>
      <x:c r="B87" s="14" t="str">
        <x:v>FRUITS</x:v>
      </x:c>
      <x:c r="C87" s="14" t="str">
        <x:v>Pear</x:v>
      </x:c>
      <x:c r="D87" s="14" t="str">
        <x:v>नाशपाती</x:v>
      </x:c>
      <x:c r="E87" s="14" t="str">
        <x:v>nashpati, pear</x:v>
      </x:c>
      <x:c r="F87" s="14" t="str">
        <x:v>Known varieties/types: Patharnakh, Babbugosha, Bartlett, Le Conte, Kashmir Nakh</x:v>
      </x:c>
      <x:c r="G87" s="14" t="str">
        <x:v>Punjab: Amritsar, Hoshiarpur, Gurdaspur; Himachal Pradesh: Kullu, Shimla, Mandi; Jammu &amp; Kashmir: Srinagar, Budgam; Uttarakhand hills</x:v>
      </x:c>
      <x:c r="H87" s="31" t="str">
        <x:v>Corrugated fiberboard carton, wooden crate/lug, plastic tray carton, or telescopic box</x:v>
      </x:c>
      <x:c r="I87" s="31" t="str">
        <x:v>₹/kg, ₹/box/carton, or count/size-grade box</x:v>
      </x:c>
      <x:c r="J87" s="31" t="str">
        <x:v>Usually 5-20 kg cartons/boxes depending on fruit and grade; capture box net weight and count size</x:v>
      </x:c>
      <x:c r="K87" s="31" t="str">
        <x:v>If quoted per box: ₹/kg = box price ÷ net kg. Also store size/count grade because box-to-box comparison can distort value.</x:v>
      </x:c>
      <x:c r="L87" s="31" t="str">
        <x:v>₹/kg</x:v>
      </x:c>
    </x:row>
    <x:row r="88" ht="74" customHeight="1">
      <x:c r="A88" s="14" t="str">
        <x:v>P0087</x:v>
      </x:c>
      <x:c r="B88" s="14" t="str">
        <x:v>FRUITS</x:v>
      </x:c>
      <x:c r="C88" s="14" t="str">
        <x:v>Pineapple</x:v>
      </x:c>
      <x:c r="D88" s="14" t="str">
        <x:v>अनानास</x:v>
      </x:c>
      <x:c r="E88" s="14" t="str">
        <x:v>ananas, pineapple</x:v>
      </x:c>
      <x:c r="F88" s="14" t="str">
        <x:v>Known varieties/types: Royal Delicious, Red Delicious, Golden Delicious, Ambri, Gala, Fuji, Granny Smith, Red Chief, Spur types</x:v>
      </x:c>
      <x:c r="G88" s="14" t="str">
        <x:v>Jammu &amp; Kashmir: Shopian, Anantnag, Pulwama, Kulgam, Baramulla; Himachal Pradesh: Kinnaur, Shimla, Kullu, Mandi; Uttarakhand: Nainital, Almora; Arunachal/Sikkim hill pockets</x:v>
      </x:c>
      <x:c r="H88" s="31" t="str">
        <x:v>Corrugated fiberboard carton, wooden crate/lug, plastic tray carton, or telescopic box</x:v>
      </x:c>
      <x:c r="I88" s="31" t="str">
        <x:v>₹/kg, ₹/box/carton, or count/size-grade box</x:v>
      </x:c>
      <x:c r="J88" s="31" t="str">
        <x:v>Usually 5-20 kg cartons/boxes depending on fruit and grade; capture box net weight and count size</x:v>
      </x:c>
      <x:c r="K88" s="31" t="str">
        <x:v>If quoted per box: ₹/kg = box price ÷ net kg. Also store size/count grade because box-to-box comparison can distort value.</x:v>
      </x:c>
      <x:c r="L88" s="31" t="str">
        <x:v>₹/kg</x:v>
      </x:c>
    </x:row>
    <x:row r="89" ht="74" customHeight="1">
      <x:c r="A89" s="14" t="str">
        <x:v>P0088</x:v>
      </x:c>
      <x:c r="B89" s="14" t="str">
        <x:v>FRUITS</x:v>
      </x:c>
      <x:c r="C89" s="14" t="str">
        <x:v>Plum</x:v>
      </x:c>
      <x:c r="D89" s="14" t="str">
        <x:v>आलूबुखारा</x:v>
      </x:c>
      <x:c r="E89" s="14" t="str">
        <x:v>aloo bukhara, plum</x:v>
      </x:c>
      <x:c r="F89" s="14" t="str">
        <x:v>Known varieties/types: Santa Rosa, Kala Amritsari, Titron, Alu Bokhara local types</x:v>
      </x:c>
      <x:c r="G89" s="14" t="str">
        <x:v>Himachal Pradesh: Shimla, Kullu, Solan; Jammu &amp; Kashmir: Kashmir Valley; Uttarakhand: Nainital, Almora; Punjab/Himachal foothills</x:v>
      </x:c>
      <x:c r="H89" s="31" t="str">
        <x:v>Corrugated fiberboard carton, wooden crate/lug, plastic tray carton, or telescopic box</x:v>
      </x:c>
      <x:c r="I89" s="31" t="str">
        <x:v>₹/kg, ₹/box/carton, or count/size-grade box</x:v>
      </x:c>
      <x:c r="J89" s="31" t="str">
        <x:v>Usually 5-20 kg cartons/boxes depending on fruit and grade; capture box net weight and count size</x:v>
      </x:c>
      <x:c r="K89" s="31" t="str">
        <x:v>If quoted per box: ₹/kg = box price ÷ net kg. Also store size/count grade because box-to-box comparison can distort value.</x:v>
      </x:c>
      <x:c r="L89" s="31" t="str">
        <x:v>₹/kg</x:v>
      </x:c>
    </x:row>
    <x:row r="90" ht="74" customHeight="1">
      <x:c r="A90" s="14" t="str">
        <x:v>P0089</x:v>
      </x:c>
      <x:c r="B90" s="14" t="str">
        <x:v>FRUITS</x:v>
      </x:c>
      <x:c r="C90" s="14" t="str">
        <x:v>Pomegranate</x:v>
      </x:c>
      <x:c r="D90" s="14" t="str">
        <x:v>अनार</x:v>
      </x:c>
      <x:c r="E90" s="14" t="str">
        <x:v>anar, pomegranate</x:v>
      </x:c>
      <x:c r="F90" s="14" t="str">
        <x:v>Known varieties/types: Bhagwa, Ganesh, Mridula, Arakta, Ruby, Kandhari, G-137</x:v>
      </x:c>
      <x:c r="G90" s="14" t="str">
        <x:v>Maharashtra: Solapur, Sangli, Nashik, Pune, Ahmednagar; Karnataka: Chitradurga, Vijayapura, Bagalkot; Gujarat: Kutch, Banaskantha; Rajasthan: Jodhpur, Barmer; Andhra/Telangana dry belts</x:v>
      </x:c>
      <x:c r="H90" s="31" t="str">
        <x:v>Plastic crate, corrugated fiberboard carton, bamboo basket, or net/mesh bag for some citrus lots</x:v>
      </x:c>
      <x:c r="I90" s="31" t="str">
        <x:v>₹/kg, ₹/crate, ₹/box/carton, or ₹/piece for premium fruit</x:v>
      </x:c>
      <x:c r="J90" s="31" t="str">
        <x:v>Typically 5-20 kg crates/cartons depending on commodity and distance</x:v>
      </x:c>
      <x:c r="K90" s="31" t="str">
        <x:v>Normalize to ₹/kg. If quoted per crate/box, use actual net kg after tare. Keep grade/size because large-size fruit changes value.</x:v>
      </x:c>
      <x:c r="L90" s="31" t="str">
        <x:v>₹/kg</x:v>
      </x:c>
    </x:row>
    <x:row r="91" ht="74" customHeight="1">
      <x:c r="A91" s="14" t="str">
        <x:v>P0090</x:v>
      </x:c>
      <x:c r="B91" s="14" t="str">
        <x:v>FRUITS</x:v>
      </x:c>
      <x:c r="C91" s="14" t="str">
        <x:v>Rambutan</x:v>
      </x:c>
      <x:c r="D91" s="14" t="str">
        <x:v>रामबूटान</x:v>
      </x:c>
      <x:c r="E91" s="14" t="str">
        <x:v>rambutan</x:v>
      </x:c>
      <x:c r="F91" s="14" t="str">
        <x:v>Known varieties/types: N-18, Arka Coorg Arun, local red/yellow rambutan types</x:v>
      </x:c>
      <x:c r="G91" s="14" t="str">
        <x:v>Kerala: Pathanamthitta, Kottayam, Thrissur, Wayanad; Karnataka: Kodagu; Tamil Nadu: Kanyakumari/Nilgiris; humid tropical niche orchards</x:v>
      </x:c>
      <x:c r="H91" s="31" t="str">
        <x:v>Plastic crate, corrugated fiberboard carton, bamboo basket, or net/mesh bag for some citrus lots</x:v>
      </x:c>
      <x:c r="I91" s="31" t="str">
        <x:v>₹/kg, ₹/crate, ₹/box/carton, or ₹/piece for premium fruit</x:v>
      </x:c>
      <x:c r="J91" s="31" t="str">
        <x:v>Typically 5-20 kg crates/cartons depending on commodity and distance</x:v>
      </x:c>
      <x:c r="K91" s="31" t="str">
        <x:v>Normalize to ₹/kg. If quoted per crate/box, use actual net kg after tare. Keep grade/size because large-size fruit changes value.</x:v>
      </x:c>
      <x:c r="L91" s="31" t="str">
        <x:v>₹/kg</x:v>
      </x:c>
    </x:row>
    <x:row r="92" ht="74" customHeight="1">
      <x:c r="A92" s="14" t="str">
        <x:v>P0091</x:v>
      </x:c>
      <x:c r="B92" s="14" t="str">
        <x:v>FRUITS</x:v>
      </x:c>
      <x:c r="C92" s="14" t="str">
        <x:v>Raw Mango</x:v>
      </x:c>
      <x:c r="D92" s="14" t="str">
        <x:v>कच्चा आम / कैरी</x:v>
      </x:c>
      <x:c r="E92" s="14" t="str">
        <x:v>kaccha aam / kairi, raw mango, kairi</x:v>
      </x:c>
      <x:c r="F92" s="14" t="str">
        <x:v>Known varieties/types: Alphonso/Hapus, Kesar, Dasheri, Langra, Chausa, Banganapalli, Totapuri, Neelam, Safeda, Pairi, Mallika, Amrapali, Zardalu, Himsagar</x:v>
      </x:c>
      <x:c r="G92" s="14" t="str">
        <x:v>Uttar Pradesh: Lucknow-Malihabad, Saharanpur, Varanasi, Meerut; Maharashtra: Ratnagiri, Sindhudurg, Nashik, Pune; Gujarat: Junagadh, Gir Somnath, Kutch, Valsad; Andhra Pradesh: Chittoor, Krishna, Vizianagaram; Telangana: Mahabubnagar, Rangareddy; Karnataka: Kolar, Ramanagara; Bihar: Bhagalpur; West Bengal: Malda, Murshidabad</x:v>
      </x:c>
      <x:c r="H92" s="31" t="str">
        <x:v>Corrugated fiberboard mango box/carton, plastic crate, or wooden crate for local trade</x:v>
      </x:c>
      <x:c r="I92" s="31" t="str">
        <x:v>₹/kg, ₹/box, ₹/peti, or ₹/dozen for premium lots</x:v>
      </x:c>
      <x:c r="J92" s="31" t="str">
        <x:v>Common mango boxes are often 4-5 kg or 10 kg; local peti/crate weights vary</x:v>
      </x:c>
      <x:c r="K92" s="31" t="str">
        <x:v>Normalize to ₹/kg. If quoted by box/peti/dozen, capture net weight or count; ₹/kg = pack price ÷ net kg. Keep variety and grade mandatory.</x:v>
      </x:c>
      <x:c r="L92" s="31" t="str">
        <x:v>₹/kg</x:v>
      </x:c>
    </x:row>
    <x:row r="93" ht="74" customHeight="1">
      <x:c r="A93" s="14" t="str">
        <x:v>P0092</x:v>
      </x:c>
      <x:c r="B93" s="14" t="str">
        <x:v>FRUITS</x:v>
      </x:c>
      <x:c r="C93" s="14" t="str">
        <x:v>Red Banana</x:v>
      </x:c>
      <x:c r="D93" s="14" t="str">
        <x:v>लाल केला</x:v>
      </x:c>
      <x:c r="E93" s="14" t="str">
        <x:v>laal kela, red banana</x:v>
      </x:c>
      <x:c r="F93" s="14" t="str">
        <x:v>Known varieties/types: Grand Naine/G9, Dwarf Cavendish, Robusta, Rasthali, Poovan, Nendran, Red Banana, Yelakki, Ney Poovan, Monthan/raw banana</x:v>
      </x:c>
      <x:c r="G93" s="14" t="str">
        <x:v>Maharashtra: Jalgaon, Nandurbar, Dhule; Andhra Pradesh: Anantapur, Kadapa, East Godavari; Tamil Nadu: Theni, Tiruchirappalli, Coimbatore, Erode; Gujarat: Bharuch, Narmada, Anand; Karnataka: Mysuru, Bagalkot, Belagavi; Bihar: Vaishali, Katihar; Assam/North East pockets</x:v>
      </x:c>
      <x:c r="H93" s="31" t="str">
        <x:v>Bunch/stem, loose hand, plastic crate, or carton for graded bananas</x:v>
      </x:c>
      <x:c r="I93" s="31" t="str">
        <x:v>₹/kg, ₹/dozen, ₹/bunch/stem, or ₹/crate</x:v>
      </x:c>
      <x:c r="J93" s="31" t="str">
        <x:v>Bunch/stem weight varies widely; carton/crate weights are market-specific</x:v>
      </x:c>
      <x:c r="K93" s="31" t="str">
        <x:v>If sold by dozen/bunch, value by count first. For cross-market analytics, weigh sample lot and normalize: ₹/kg = lot price ÷ net kg.</x:v>
      </x:c>
      <x:c r="L93" s="31" t="str">
        <x:v>₹/kg plus ₹/dozen</x:v>
      </x:c>
    </x:row>
    <x:row r="94" ht="74" customHeight="1">
      <x:c r="A94" s="14" t="str">
        <x:v>P0093</x:v>
      </x:c>
      <x:c r="B94" s="14" t="str">
        <x:v>FRUITS</x:v>
      </x:c>
      <x:c r="C94" s="14" t="str">
        <x:v>Sapota</x:v>
      </x:c>
      <x:c r="D94" s="14" t="str">
        <x:v>चीकू</x:v>
      </x:c>
      <x:c r="E94" s="14" t="str">
        <x:v>chikoo, sapota</x:v>
      </x:c>
      <x:c r="F94" s="14" t="str">
        <x:v>Known varieties/types: Kalipatti, Cricket Ball, CO-1, CO-2, Pala, DHS series</x:v>
      </x:c>
      <x:c r="G94" s="14" t="str">
        <x:v>Karnataka: Bengaluru Rural, Chikkaballapur, Kolar; Gujarat: Valsad, Navsari, Surat; Maharashtra: Thane, Palghar, Pune; Tamil Nadu: Coimbatore, Dindigul; Andhra Pradesh: Anantapur, Chittoor</x:v>
      </x:c>
      <x:c r="H94" s="31" t="str">
        <x:v>Plastic crate, corrugated fiberboard carton, bamboo basket, or net/mesh bag for some citrus lots</x:v>
      </x:c>
      <x:c r="I94" s="31" t="str">
        <x:v>₹/kg, ₹/crate, ₹/box/carton, or ₹/piece for premium fruit</x:v>
      </x:c>
      <x:c r="J94" s="31" t="str">
        <x:v>Typically 5-20 kg crates/cartons depending on commodity and distance</x:v>
      </x:c>
      <x:c r="K94" s="31" t="str">
        <x:v>Normalize to ₹/kg. If quoted per crate/box, use actual net kg after tare. Keep grade/size because large-size fruit changes value.</x:v>
      </x:c>
      <x:c r="L94" s="31" t="str">
        <x:v>₹/kg</x:v>
      </x:c>
    </x:row>
    <x:row r="95" ht="74" customHeight="1">
      <x:c r="A95" s="14" t="str">
        <x:v>P0094</x:v>
      </x:c>
      <x:c r="B95" s="14" t="str">
        <x:v>FRUITS</x:v>
      </x:c>
      <x:c r="C95" s="14" t="str">
        <x:v>Sarda</x:v>
      </x:c>
      <x:c r="D95" s="14" t="str">
        <x:v>सरदा खरबूजा</x:v>
      </x:c>
      <x:c r="E95" s="14" t="str">
        <x:v>sarda kharbooja, sarda, sarda melon</x:v>
      </x:c>
      <x:c r="F95" s="14" t="str">
        <x:v>Known varieties/types: Sarda melon, honeydew/cantaloupe hybrid types, local muskmelon selections</x:v>
      </x:c>
      <x:c r="G95" s="14" t="str">
        <x:v>Punjab, Haryana, Rajasthan, Uttar Pradesh and Gujarat melon belts; common arrivals from Sonipat, Karnal, Agra, Mathura, Jaipur and Banaskantha areas</x:v>
      </x:c>
      <x:c r="H95" s="31" t="str">
        <x:v>Loose bulk, field crate, or truck lot; rarely boxed in local wholesale</x:v>
      </x:c>
      <x:c r="I95" s="31" t="str">
        <x:v>₹/kg, ₹/piece, or lot/truck rate</x:v>
      </x:c>
      <x:c r="J95" s="31" t="str">
        <x:v>Sold loose by weight or piece; capture net lot weight and size grade</x:v>
      </x:c>
      <x:c r="K95" s="31" t="str">
        <x:v>Prefer ₹/kg. If per piece/lot, convert only after weighing: ₹/kg = total lot price ÷ net kg.</x:v>
      </x:c>
      <x:c r="L95" s="31" t="str">
        <x:v>₹/kg</x:v>
      </x:c>
    </x:row>
    <x:row r="96" ht="74" customHeight="1">
      <x:c r="A96" s="14" t="str">
        <x:v>P0095</x:v>
      </x:c>
      <x:c r="B96" s="14" t="str">
        <x:v>FRUITS</x:v>
      </x:c>
      <x:c r="C96" s="14" t="str">
        <x:v>Shahi Litchi</x:v>
      </x:c>
      <x:c r="D96" s="14" t="str">
        <x:v>शाही लीची</x:v>
      </x:c>
      <x:c r="E96" s="14" t="str">
        <x:v>shahi lichi, shahi lychee</x:v>
      </x:c>
      <x:c r="F96" s="14" t="str">
        <x:v>Known varieties/types: Shahi, China, Bedana, Rose Scented, Purbi, Dehradun</x:v>
      </x:c>
      <x:c r="G96" s="14" t="str">
        <x:v>Bihar: Muzaffarpur, Vaishali, Samastipur, East Champaran; Uttarakhand: Dehradun; West Bengal: Malda, Murshidabad; Assam and Tripura pockets; Karnataka: Kodagu niche off-season trials</x:v>
      </x:c>
      <x:c r="H96" s="31" t="str">
        <x:v>Plastic crate, corrugated fiberboard carton, bamboo basket, or net/mesh bag for some citrus lots</x:v>
      </x:c>
      <x:c r="I96" s="31" t="str">
        <x:v>₹/kg, ₹/crate, ₹/box/carton, or ₹/piece for premium fruit</x:v>
      </x:c>
      <x:c r="J96" s="31" t="str">
        <x:v>Typically 5-20 kg crates/cartons depending on commodity and distance</x:v>
      </x:c>
      <x:c r="K96" s="31" t="str">
        <x:v>Normalize to ₹/kg. If quoted per crate/box, use actual net kg after tare. Keep grade/size because large-size fruit changes value.</x:v>
      </x:c>
      <x:c r="L96" s="31" t="str">
        <x:v>₹/kg</x:v>
      </x:c>
    </x:row>
    <x:row r="97" ht="74" customHeight="1">
      <x:c r="A97" s="14" t="str">
        <x:v>P0096</x:v>
      </x:c>
      <x:c r="B97" s="14" t="str">
        <x:v>FRUITS</x:v>
      </x:c>
      <x:c r="C97" s="14" t="str">
        <x:v>Soursop</x:v>
      </x:c>
      <x:c r="D97" s="14" t="str">
        <x:v>लक्ष्मण फल / सॉरसोप</x:v>
      </x:c>
      <x:c r="E97" s="14" t="str">
        <x:v>lakshman phal / soursop, soursop, hanuman phal</x:v>
      </x:c>
      <x:c r="F97" s="14" t="str">
        <x:v>Known varieties/types: local soursop/hanuman phal selections; cultivar names not common in trade</x:v>
      </x:c>
      <x:c r="G97" s="14" t="str">
        <x:v>Kerala, Karnataka coastal belt, Tamil Nadu, Maharashtra Konkan and North East humid pockets; areas include Thrissur, Dakshina Kannada, Coimbatore and Ratnagiri</x:v>
      </x:c>
      <x:c r="H97" s="31" t="str">
        <x:v>Plastic crate, corrugated fiberboard carton, bamboo basket, net bag, or loose lot</x:v>
      </x:c>
      <x:c r="I97" s="31" t="str">
        <x:v>₹/kg, ₹/crate, ₹/box, ₹/piece, or lot rate</x:v>
      </x:c>
      <x:c r="J97" s="31" t="str">
        <x:v>Most fresh fruit wholesale packs are 5-20 kg; capture actual net weight/count</x:v>
      </x:c>
      <x:c r="K97" s="31" t="str">
        <x:v>Normalize to ₹/kg wherever possible. If quoted by pack/count, divide by actual net kg or count and preserve raw quote unit.</x:v>
      </x:c>
      <x:c r="L97" s="31" t="str">
        <x:v>₹/kg</x:v>
      </x:c>
    </x:row>
    <x:row r="98" ht="74" customHeight="1">
      <x:c r="A98" s="14" t="str">
        <x:v>P0097</x:v>
      </x:c>
      <x:c r="B98" s="14" t="str">
        <x:v>FRUITS</x:v>
      </x:c>
      <x:c r="C98" s="14" t="str">
        <x:v>Strawberry</x:v>
      </x:c>
      <x:c r="D98" s="14" t="str">
        <x:v>स्ट्रॉबेरी</x:v>
      </x:c>
      <x:c r="E98" s="14" t="str">
        <x:v>strawberry</x:v>
      </x:c>
      <x:c r="F98" s="14" t="str">
        <x:v>Known varieties/types: Umran, Gola, Seb, Banarasi Karaka, Kaithali, Mehrun</x:v>
      </x:c>
      <x:c r="G98" s="14" t="str">
        <x:v>Rajasthan: Jaipur, Ajmer, Jodhpur, Barmer; Haryana: Hisar, Bhiwani; Punjab: Abohar, Fazilka; Gujarat: Kutch, Banaskantha; Maharashtra dry belts</x:v>
      </x:c>
      <x:c r="H98" s="31" t="str">
        <x:v>Punnet/clamshell trays packed in corrugated carton or cold-chain crate</x:v>
      </x:c>
      <x:c r="I98" s="31" t="str">
        <x:v>₹/punnet, ₹/tray, ₹/carton, or ₹/kg</x:v>
      </x:c>
      <x:c r="J98" s="31" t="str">
        <x:v>Punnets are often small-count packs; carton net weight must be captured from seller/label</x:v>
      </x:c>
      <x:c r="K98" s="31" t="str">
        <x:v>Normalize to ₹/kg only after capturing punnet/carton net weight. Otherwise keep ₹/punnet/₹/tray for retail-like wholesale quotes.</x:v>
      </x:c>
      <x:c r="L98" s="31" t="str">
        <x:v>₹/kg or ₹/punnet</x:v>
      </x:c>
    </x:row>
    <x:row r="99" ht="74" customHeight="1">
      <x:c r="A99" s="14" t="str">
        <x:v>P0098</x:v>
      </x:c>
      <x:c r="B99" s="14" t="str">
        <x:v>FRUITS</x:v>
      </x:c>
      <x:c r="C99" s="14" t="str">
        <x:v>Sweet Orange</x:v>
      </x:c>
      <x:c r="D99" s="14" t="str">
        <x:v>मौसंबी</x:v>
      </x:c>
      <x:c r="E99" s="14" t="str">
        <x:v>mosambi, sweet orange, malta</x:v>
      </x:c>
      <x:c r="F99" s="14" t="str">
        <x:v>Known varieties/types: Nagpur Mandarin, Kinnow, Khasi Mandarin, Coorg Mandarin, Darjeeling Mandarin</x:v>
      </x:c>
      <x:c r="G99" s="14" t="str">
        <x:v>Maharashtra: Nagpur, Amravati, Wardha; Madhya Pradesh: Chhindwara; Assam: Tinsukia, Dibrugarh; Meghalaya/Manipur hill mandarin belts; Karnataka Coorg mandarin pockets</x:v>
      </x:c>
      <x:c r="H99" s="31" t="str">
        <x:v>Plastic crate, corrugated fiberboard carton, bamboo basket, or net/mesh bag for some citrus lots</x:v>
      </x:c>
      <x:c r="I99" s="31" t="str">
        <x:v>₹/kg, ₹/crate, ₹/box/carton, or ₹/piece for premium fruit</x:v>
      </x:c>
      <x:c r="J99" s="31" t="str">
        <x:v>Typically 5-20 kg crates/cartons depending on commodity and distance</x:v>
      </x:c>
      <x:c r="K99" s="31" t="str">
        <x:v>Normalize to ₹/kg. If quoted per crate/box, use actual net kg after tare. Keep grade/size because large-size fruit changes value.</x:v>
      </x:c>
      <x:c r="L99" s="31" t="str">
        <x:v>₹/kg</x:v>
      </x:c>
    </x:row>
    <x:row r="100" ht="74" customHeight="1">
      <x:c r="A100" s="14" t="str">
        <x:v>P0099</x:v>
      </x:c>
      <x:c r="B100" s="14" t="str">
        <x:v>FRUITS</x:v>
      </x:c>
      <x:c r="C100" s="14" t="str">
        <x:v>Watermelon</x:v>
      </x:c>
      <x:c r="D100" s="14" t="str">
        <x:v>तरबूज</x:v>
      </x:c>
      <x:c r="E100" s="14" t="str">
        <x:v>tarbooj, watermelon</x:v>
      </x:c>
      <x:c r="F100" s="14" t="str">
        <x:v>Known varieties/types: Sugar Baby, Arka Jyoti, Kiran, Max, Icebox, seedless hybrids, dark-green and striped types</x:v>
      </x:c>
      <x:c r="G100" s="14" t="str">
        <x:v>Karnataka: Kolar, Chikkaballapur; Maharashtra: Pune, Solapur, Nashik; Uttar Pradesh: Agra, Etawah, Kanpur river belts; Rajasthan/Gujarat dry irrigated belts; Andhra/Telangana, Tamil Nadu and West Bengal summer belts</x:v>
      </x:c>
      <x:c r="H100" s="31" t="str">
        <x:v>Loose bulk, field crate, or truck lot; rarely boxed in local wholesale</x:v>
      </x:c>
      <x:c r="I100" s="31" t="str">
        <x:v>₹/kg, ₹/piece, or lot/truck rate</x:v>
      </x:c>
      <x:c r="J100" s="31" t="str">
        <x:v>Sold loose by weight or piece; capture net lot weight and size grade</x:v>
      </x:c>
      <x:c r="K100" s="31" t="str">
        <x:v>Prefer ₹/kg. If per piece/lot, convert only after weighing: ₹/kg = total lot price ÷ net kg.</x:v>
      </x:c>
      <x:c r="L100" s="31" t="str">
        <x:v>₹/kg</x:v>
      </x:c>
    </x:row>
    <x:row r="101" ht="74" customHeight="1">
      <x:c r="A101" s="14" t="str">
        <x:v>P0100</x:v>
      </x:c>
      <x:c r="B101" s="14" t="str">
        <x:v>FRUITS</x:v>
      </x:c>
      <x:c r="C101" s="14" t="str">
        <x:v>Zardalu Mango</x:v>
      </x:c>
      <x:c r="D101" s="14" t="str">
        <x:v>जर्दालु आम</x:v>
      </x:c>
      <x:c r="E101" s="14" t="str">
        <x:v>zardalu aam, zardalu mango</x:v>
      </x:c>
      <x:c r="F101" s="14" t="str">
        <x:v>Known variety/type: Zardalu mango, Bhagalpur GI-linked aromatic mango</x:v>
      </x:c>
      <x:c r="G101" s="14" t="str">
        <x:v>Bihar: Bhagalpur, Banka and adjoining Zardalu mango orchards in the Anga belt</x:v>
      </x:c>
      <x:c r="H101" s="31" t="str">
        <x:v>Corrugated fiberboard mango box/carton, plastic crate, or wooden crate for local trade</x:v>
      </x:c>
      <x:c r="I101" s="31" t="str">
        <x:v>₹/kg, ₹/box, ₹/peti, or ₹/dozen for premium lots</x:v>
      </x:c>
      <x:c r="J101" s="31" t="str">
        <x:v>Common mango boxes are often 4-5 kg or 10 kg; local peti/crate weights vary</x:v>
      </x:c>
      <x:c r="K101" s="31" t="str">
        <x:v>Normalize to ₹/kg. If quoted by box/peti/dozen, capture net weight or count; ₹/kg = pack price ÷ net kg. Keep variety and grade mandatory.</x:v>
      </x:c>
      <x:c r="L101" s="31" t="str">
        <x:v>₹/kg</x:v>
      </x:c>
    </x:row>
    <x:row r="102" ht="74" customHeight="1">
      <x:c r="A102" s="14" t="str">
        <x:v>P0101</x:v>
      </x:c>
      <x:c r="B102" s="14" t="str">
        <x:v>VEGETABLES</x:v>
      </x:c>
      <x:c r="C102" s="14" t="str">
        <x:v>Aloe Vera</x:v>
      </x:c>
      <x:c r="D102" s="14" t="str">
        <x:v>घृतकुमारी / एलोवेरा</x:v>
      </x:c>
      <x:c r="E102" s="14" t="str">
        <x:v>ghritkumari / aloe vera, aloe vera, gwarpatha</x:v>
      </x:c>
      <x:c r="F102" s="14" t="str">
        <x:v>Known varieties/types: Aloe barbadensis Miller, local medicinal aloe selections; traded by leaf gel quality</x:v>
      </x:c>
      <x:c r="G102" s="14" t="str">
        <x:v>Rajasthan: Jodhpur, Barmer, Jaipur; Gujarat: Kutch, Banaskantha; Haryana/Delhi NCR; Madhya Pradesh and Maharashtra dry medicinal-plant belts</x:v>
      </x:c>
      <x:c r="H102" s="31" t="str">
        <x:v>Plastic crate, bamboo basket, gunny/HDPE sack, mesh bag, or loose lot</x:v>
      </x:c>
      <x:c r="I102" s="31" t="str">
        <x:v>₹/kg, ₹/crate, ₹/bag, ₹/piece, or lot rate</x:v>
      </x:c>
      <x:c r="J102" s="31" t="str">
        <x:v>Typical vegetable crates/bags are 10-30 kg; heavier sacks may be 40-50 kg</x:v>
      </x:c>
      <x:c r="K102" s="31" t="str">
        <x:v>Normalize to ₹/kg. If quoted per crate/bag, use actual net weight after tare. Keep grade/size/quality note with quote.</x:v>
      </x:c>
      <x:c r="L102" s="31" t="str">
        <x:v>₹/kg</x:v>
      </x:c>
    </x:row>
    <x:row r="103" ht="74" customHeight="1">
      <x:c r="A103" s="14" t="str">
        <x:v>P0102</x:v>
      </x:c>
      <x:c r="B103" s="14" t="str">
        <x:v>VEGETABLES</x:v>
      </x:c>
      <x:c r="C103" s="14" t="str">
        <x:v>Arrowroot</x:v>
      </x:c>
      <x:c r="D103" s="14" t="str">
        <x:v>अरारोट</x:v>
      </x:c>
      <x:c r="E103" s="14" t="str">
        <x:v>ararot, arrowroot</x:v>
      </x:c>
      <x:c r="F103" s="14" t="str">
        <x:v>Known varieties/types: local arrowroot/tikhur types; cultivar names not common in mandi trade</x:v>
      </x:c>
      <x:c r="G103" s="14" t="str">
        <x:v>Kerala, Tamil Nadu, Odisha, West Bengal and North East tuber/starch belts; raw arrowroot/tikhur pockets in Chhattisgarh and Odisha tribal areas</x:v>
      </x:c>
      <x:c r="H103" s="31" t="str">
        <x:v>Plastic crate, gunny/HDPE bag, mesh bag, or loose basket depending on crop</x:v>
      </x:c>
      <x:c r="I103" s="31" t="str">
        <x:v>₹/kg, ₹/crate, ₹/bag, or bunch/count for small roots</x:v>
      </x:c>
      <x:c r="J103" s="31" t="str">
        <x:v>Usually 10-50 kg depending on root/tuber and distance; capture actual net weight</x:v>
      </x:c>
      <x:c r="K103" s="31" t="str">
        <x:v>Normalize to ₹/kg. For bag/crate quotes, ₹/kg = pack price ÷ net kg after tare.</x:v>
      </x:c>
      <x:c r="L103" s="31" t="str">
        <x:v>₹/kg</x:v>
      </x:c>
    </x:row>
    <x:row r="104" ht="74" customHeight="1">
      <x:c r="A104" s="14" t="str">
        <x:v>P0103</x:v>
      </x:c>
      <x:c r="B104" s="14" t="str">
        <x:v>VEGETABLES</x:v>
      </x:c>
      <x:c r="C104" s="14" t="str">
        <x:v>Raw Banana</x:v>
      </x:c>
      <x:c r="D104" s="14" t="str">
        <x:v>कच्चा केला</x:v>
      </x:c>
      <x:c r="E104" s="14" t="str">
        <x:v>kaccha kela, raw banana</x:v>
      </x:c>
      <x:c r="F104" s="14" t="str">
        <x:v>Known varieties/types: Grand Naine/G9, Dwarf Cavendish, Robusta, Rasthali, Poovan, Nendran, Red Banana, Yelakki, Ney Poovan, Monthan/raw banana</x:v>
      </x:c>
      <x:c r="G104" s="14" t="str">
        <x:v>Maharashtra: Jalgaon, Nandurbar, Dhule; Andhra Pradesh: Anantapur, Kadapa, East Godavari; Tamil Nadu: Theni, Tiruchirappalli, Coimbatore, Erode; Gujarat: Bharuch, Narmada, Anand; Karnataka: Mysuru, Bagalkot, Belagavi; Bihar: Vaishali, Katihar; Assam/North East pockets</x:v>
      </x:c>
      <x:c r="H104" s="31" t="str">
        <x:v>Plastic crate, bamboo basket, gunny/HDPE sack, mesh bag, or loose lot</x:v>
      </x:c>
      <x:c r="I104" s="31" t="str">
        <x:v>₹/kg, ₹/crate, ₹/bag, ₹/piece, or lot rate</x:v>
      </x:c>
      <x:c r="J104" s="31" t="str">
        <x:v>Typical vegetable crates/bags are 10-30 kg; heavier sacks may be 40-50 kg</x:v>
      </x:c>
      <x:c r="K104" s="31" t="str">
        <x:v>Normalize to ₹/kg. If quoted per crate/bag, use actual net weight after tare. Keep grade/size/quality note with quote.</x:v>
      </x:c>
      <x:c r="L104" s="31" t="str">
        <x:v>₹/kg</x:v>
      </x:c>
    </x:row>
    <x:row r="105" ht="74" customHeight="1">
      <x:c r="A105" s="14" t="str">
        <x:v>P0104</x:v>
      </x:c>
      <x:c r="B105" s="14" t="str">
        <x:v>VEGETABLES</x:v>
      </x:c>
      <x:c r="C105" s="14" t="str">
        <x:v>Beetroot</x:v>
      </x:c>
      <x:c r="D105" s="14" t="str">
        <x:v>चुकंदर</x:v>
      </x:c>
      <x:c r="E105" s="14" t="str">
        <x:v>chukandar, beetroot, beet</x:v>
      </x:c>
      <x:c r="F105" s="14" t="str">
        <x:v>Known varieties/types: Detroit Dark Red, Crimson Globe, local beetroot types</x:v>
      </x:c>
      <x:c r="G105" s="14" t="str">
        <x:v>Maharashtra: Pune, Nashik; Karnataka: Bengaluru Rural, Kolar; Tamil Nadu: Nilgiris, Krishnagiri; Haryana/Delhi/NCR and Himachal/Uttarakhand winter/protected belts</x:v>
      </x:c>
      <x:c r="H105" s="31" t="str">
        <x:v>Plastic crate, gunny/HDPE bag, mesh bag, or loose basket depending on crop</x:v>
      </x:c>
      <x:c r="I105" s="31" t="str">
        <x:v>₹/kg, ₹/crate, ₹/bag, or bunch/count for small roots</x:v>
      </x:c>
      <x:c r="J105" s="31" t="str">
        <x:v>Usually 10-50 kg depending on root/tuber and distance; capture actual net weight</x:v>
      </x:c>
      <x:c r="K105" s="31" t="str">
        <x:v>Normalize to ₹/kg. For bag/crate quotes, ₹/kg = pack price ÷ net kg after tare.</x:v>
      </x:c>
      <x:c r="L105" s="31" t="str">
        <x:v>₹/kg</x:v>
      </x:c>
    </x:row>
    <x:row r="106" ht="74" customHeight="1">
      <x:c r="A106" s="14" t="str">
        <x:v>P0105</x:v>
      </x:c>
      <x:c r="B106" s="14" t="str">
        <x:v>VEGETABLES</x:v>
      </x:c>
      <x:c r="C106" s="14" t="str">
        <x:v>Bhindi / Okra</x:v>
      </x:c>
      <x:c r="D106" s="14" t="str">
        <x:v>भिंडी</x:v>
      </x:c>
      <x:c r="E106" s="14" t="str">
        <x:v>bhindi, okra, lady finger</x:v>
      </x:c>
      <x:c r="F106" s="14" t="str">
        <x:v>Known varieties/types: Pusa Sawani, Parbhani Kranti, Arka Anamika, Kashi Pragati, green and red okra niche types</x:v>
      </x:c>
      <x:c r="G106" s="14" t="str">
        <x:v>Gujarat: Saurashtra-Kutch, Ahmedabad, Kheda; Uttar Pradesh: Meerut, Lucknow, Kanpur; West Bengal: Hooghly, Nadia; Bihar: Patna, Nalanda; Haryana/Delhi/NCR; Maharashtra and Andhra/Telangana vegetable belts</x:v>
      </x:c>
      <x:c r="H106" s="31" t="str">
        <x:v>Plastic crate, bamboo basket, gunny/HDPE sack, mesh bag, or loose lot</x:v>
      </x:c>
      <x:c r="I106" s="31" t="str">
        <x:v>₹/kg, ₹/crate, ₹/bag, ₹/piece, or lot rate</x:v>
      </x:c>
      <x:c r="J106" s="31" t="str">
        <x:v>Typical vegetable crates/bags are 10-30 kg; heavier sacks may be 40-50 kg</x:v>
      </x:c>
      <x:c r="K106" s="31" t="str">
        <x:v>Normalize to ₹/kg. If quoted per crate/bag, use actual net weight after tare. Keep grade/size/quality note with quote.</x:v>
      </x:c>
      <x:c r="L106" s="31" t="str">
        <x:v>₹/kg</x:v>
      </x:c>
    </x:row>
    <x:row r="107" ht="74" customHeight="1">
      <x:c r="A107" s="14" t="str">
        <x:v>P0106</x:v>
      </x:c>
      <x:c r="B107" s="14" t="str">
        <x:v>VEGETABLES</x:v>
      </x:c>
      <x:c r="C107" s="14" t="str">
        <x:v>Bitter Gourd</x:v>
      </x:c>
      <x:c r="D107" s="14" t="str">
        <x:v>करेला</x:v>
      </x:c>
      <x:c r="E107" s="14" t="str">
        <x:v>karela, bitter gourd</x:v>
      </x:c>
      <x:c r="F107" s="14" t="str">
        <x:v>Known varieties/types: Pusa Do Mausami, Arka Harit, Priya, long/short karela types</x:v>
      </x:c>
      <x:c r="G107" s="14" t="str">
        <x:v>West Bengal: Nadia, Hooghly; Odisha: Cuttack, Puri; Karnataka: Kolar, Bengaluru Rural; Maharashtra: Pune, Nashik; Tamil Nadu: Coimbatore, Erode; UP/Bihar/Haryana belts</x:v>
      </x:c>
      <x:c r="H107" s="31" t="str">
        <x:v>Plastic crate, bamboo basket, gunny/HDPE sack, mesh bag, or loose lot</x:v>
      </x:c>
      <x:c r="I107" s="31" t="str">
        <x:v>₹/kg, ₹/crate, ₹/bag, ₹/piece, or lot rate</x:v>
      </x:c>
      <x:c r="J107" s="31" t="str">
        <x:v>Typical vegetable crates/bags are 10-30 kg; heavier sacks may be 40-50 kg</x:v>
      </x:c>
      <x:c r="K107" s="31" t="str">
        <x:v>Normalize to ₹/kg. If quoted per crate/bag, use actual net weight after tare. Keep grade/size/quality note with quote.</x:v>
      </x:c>
      <x:c r="L107" s="31" t="str">
        <x:v>₹/kg</x:v>
      </x:c>
    </x:row>
    <x:row r="108" ht="74" customHeight="1">
      <x:c r="A108" s="14" t="str">
        <x:v>P0107</x:v>
      </x:c>
      <x:c r="B108" s="14" t="str">
        <x:v>VEGETABLES</x:v>
      </x:c>
      <x:c r="C108" s="14" t="str">
        <x:v>Bottle Gourd</x:v>
      </x:c>
      <x:c r="D108" s="14" t="str">
        <x:v>लौकी / घीया</x:v>
      </x:c>
      <x:c r="E108" s="14" t="str">
        <x:v>lauki / ghiya, bottle gourd, doodhi</x:v>
      </x:c>
      <x:c r="F108" s="14" t="str">
        <x:v>Known varieties/types: Pusa Naveen, Arka Bahar, Punjab Komal, long and round lauki types</x:v>
      </x:c>
      <x:c r="G108" s="14" t="str">
        <x:v>Uttar Pradesh, Bihar, West Bengal, Haryana/Delhi NCR, Rajasthan, Maharashtra and Karnataka peri-urban/riverbed belts; major areas include Meerut, Patna, Nadia, Sonipat, Jaipur, Pune and Kolar</x:v>
      </x:c>
      <x:c r="H108" s="31" t="str">
        <x:v>Plastic crate, bamboo basket, gunny/HDPE sack, mesh bag, or loose lot</x:v>
      </x:c>
      <x:c r="I108" s="31" t="str">
        <x:v>₹/kg, ₹/crate, ₹/bag, ₹/piece, or lot rate</x:v>
      </x:c>
      <x:c r="J108" s="31" t="str">
        <x:v>Typical vegetable crates/bags are 10-30 kg; heavier sacks may be 40-50 kg</x:v>
      </x:c>
      <x:c r="K108" s="31" t="str">
        <x:v>Normalize to ₹/kg. If quoted per crate/bag, use actual net weight after tare. Keep grade/size/quality note with quote.</x:v>
      </x:c>
      <x:c r="L108" s="31" t="str">
        <x:v>₹/kg</x:v>
      </x:c>
    </x:row>
    <x:row r="109" ht="74" customHeight="1">
      <x:c r="A109" s="14" t="str">
        <x:v>P0108</x:v>
      </x:c>
      <x:c r="B109" s="14" t="str">
        <x:v>VEGETABLES</x:v>
      </x:c>
      <x:c r="C109" s="14" t="str">
        <x:v>Brinjal</x:v>
      </x:c>
      <x:c r="D109" s="14" t="str">
        <x:v>बैंगन</x:v>
      </x:c>
      <x:c r="E109" s="14" t="str">
        <x:v>baingan, eggplant, aubergine</x:v>
      </x:c>
      <x:c r="F109" s="14" t="str">
        <x:v>Known varieties/types: Umran, Gola, Seb, Banarasi Karaka, Kaithali, Mehrun</x:v>
      </x:c>
      <x:c r="G109" s="14" t="str">
        <x:v>Rajasthan: Jaipur, Ajmer, Jodhpur, Barmer; Haryana: Hisar, Bhiwani; Punjab: Abohar, Fazilka; Gujarat: Kutch, Banaskantha; Maharashtra dry belts</x:v>
      </x:c>
      <x:c r="H109" s="31" t="str">
        <x:v>Plastic crate, bamboo basket, gunny/HDPE sack, mesh bag, or loose lot</x:v>
      </x:c>
      <x:c r="I109" s="31" t="str">
        <x:v>₹/kg, ₹/crate, ₹/bag, ₹/piece, or lot rate</x:v>
      </x:c>
      <x:c r="J109" s="31" t="str">
        <x:v>Typical vegetable crates/bags are 10-30 kg; heavier sacks may be 40-50 kg</x:v>
      </x:c>
      <x:c r="K109" s="31" t="str">
        <x:v>Normalize to ₹/kg. If quoted per crate/bag, use actual net weight after tare. Keep grade/size/quality note with quote.</x:v>
      </x:c>
      <x:c r="L109" s="31" t="str">
        <x:v>₹/kg</x:v>
      </x:c>
    </x:row>
    <x:row r="110" ht="74" customHeight="1">
      <x:c r="A110" s="14" t="str">
        <x:v>P0109</x:v>
      </x:c>
      <x:c r="B110" s="14" t="str">
        <x:v>VEGETABLES</x:v>
      </x:c>
      <x:c r="C110" s="14" t="str">
        <x:v>Broccoli / Calabrese</x:v>
      </x:c>
      <x:c r="D110" s="14" t="str">
        <x:v>ब्रोकली</x:v>
      </x:c>
      <x:c r="E110" s="14" t="str">
        <x:v>broccoli, calabrese</x:v>
      </x:c>
      <x:c r="F110" s="14" t="str">
        <x:v>Known varieties/types: Green Magic, Fiesta, Marathon, Calabrese broccoli types</x:v>
      </x:c>
      <x:c r="G110" s="14" t="str">
        <x:v>Himachal: Solan, Sirmaur; Uttarakhand: Dehradun, Nainital; Maharashtra: Pune/Nashik; Karnataka: Bengaluru Rural/Kolar; Haryana/Delhi NCR and Tamil Nadu Nilgiris protected/cool belts</x:v>
      </x:c>
      <x:c r="H110" s="31" t="str">
        <x:v>Plastic crate, bamboo basket, gunny/HDPE sack, mesh bag, or loose lot</x:v>
      </x:c>
      <x:c r="I110" s="31" t="str">
        <x:v>₹/kg, ₹/crate, ₹/bag, ₹/piece, or lot rate</x:v>
      </x:c>
      <x:c r="J110" s="31" t="str">
        <x:v>Typical vegetable crates/bags are 10-30 kg; heavier sacks may be 40-50 kg</x:v>
      </x:c>
      <x:c r="K110" s="31" t="str">
        <x:v>Normalize to ₹/kg. If quoted per crate/bag, use actual net weight after tare. Keep grade/size/quality note with quote.</x:v>
      </x:c>
      <x:c r="L110" s="31" t="str">
        <x:v>₹/kg</x:v>
      </x:c>
    </x:row>
    <x:row r="111" ht="74" customHeight="1">
      <x:c r="A111" s="14" t="str">
        <x:v>P0110</x:v>
      </x:c>
      <x:c r="B111" s="14" t="str">
        <x:v>VEGETABLES</x:v>
      </x:c>
      <x:c r="C111" s="14" t="str">
        <x:v>Button Mushroom</x:v>
      </x:c>
      <x:c r="D111" s="14" t="str">
        <x:v>बटन मशरूम</x:v>
      </x:c>
      <x:c r="E111" s="14" t="str">
        <x:v>button mushroom</x:v>
      </x:c>
      <x:c r="F111" s="14" t="str">
        <x:v>Known varieties/types: Button, Oyster, Milky, Paddy Straw, Shiitake, Portobello; strain names differ by lab</x:v>
      </x:c>
      <x:c r="G111" s="14" t="str">
        <x:v>Himachal: Solan; Haryana: Sonipat, Gurugram; Punjab: Ludhiana; Maharashtra: Pune; Karnataka: Bengaluru; Tamil Nadu: Coimbatore; Odisha and North East oyster/paddy-straw mushroom belts</x:v>
      </x:c>
      <x:c r="H111" s="31" t="str">
        <x:v>Plastic tray, punnet, ventilated carton, or cold-chain crate</x:v>
      </x:c>
      <x:c r="I111" s="31" t="str">
        <x:v>₹/kg, ₹/tray, ₹/punnet, or ₹/carton</x:v>
      </x:c>
      <x:c r="J111" s="31" t="str">
        <x:v>Common trade packs range from small trays to 1-5 kg cartons; capture net weight</x:v>
      </x:c>
      <x:c r="K111" s="31" t="str">
        <x:v>Normalize to ₹/kg. If quoted per tray/carton, divide by net kg and record variety/type separately.</x:v>
      </x:c>
      <x:c r="L111" s="31" t="str">
        <x:v>₹/kg</x:v>
      </x:c>
    </x:row>
    <x:row r="112" ht="74" customHeight="1">
      <x:c r="A112" s="14" t="str">
        <x:v>P0111</x:v>
      </x:c>
      <x:c r="B112" s="14" t="str">
        <x:v>VEGETABLES</x:v>
      </x:c>
      <x:c r="C112" s="14" t="str">
        <x:v>Cabbage</x:v>
      </x:c>
      <x:c r="D112" s="14" t="str">
        <x:v>पत्ता गोभी / बंद गोभी</x:v>
      </x:c>
      <x:c r="E112" s="14" t="str">
        <x:v>patta gobhi / band gobhi, cabbage</x:v>
      </x:c>
      <x:c r="F112" s="14" t="str">
        <x:v>Known varieties/types: Golden Acre, Pride of India, Copenhagen Market, red cabbage, Chinese cabbage, pointed cabbage</x:v>
      </x:c>
      <x:c r="G112" s="14" t="str">
        <x:v>West Bengal: Hooghly, Nadia, North 24 Parganas; Karnataka: Kolar, Chikkaballapur; Maharashtra: Nashik, Pune; Himachal: Solan, Sirmaur; Tamil Nadu: Nilgiris, Krishnagiri; Bihar/UP winter belts</x:v>
      </x:c>
      <x:c r="H112" s="31" t="str">
        <x:v>Plastic crate, bamboo basket, gunny/HDPE sack, mesh bag, or loose lot</x:v>
      </x:c>
      <x:c r="I112" s="31" t="str">
        <x:v>₹/kg, ₹/crate, ₹/bag, ₹/piece, or lot rate</x:v>
      </x:c>
      <x:c r="J112" s="31" t="str">
        <x:v>Typical vegetable crates/bags are 10-30 kg; heavier sacks may be 40-50 kg</x:v>
      </x:c>
      <x:c r="K112" s="31" t="str">
        <x:v>Normalize to ₹/kg. If quoted per crate/bag, use actual net weight after tare. Keep grade/size/quality note with quote.</x:v>
      </x:c>
      <x:c r="L112" s="31" t="str">
        <x:v>₹/kg</x:v>
      </x:c>
    </x:row>
    <x:row r="113" ht="74" customHeight="1">
      <x:c r="A113" s="14" t="str">
        <x:v>P0112</x:v>
      </x:c>
      <x:c r="B113" s="14" t="str">
        <x:v>VEGETABLES</x:v>
      </x:c>
      <x:c r="C113" s="14" t="str">
        <x:v>Capsicum</x:v>
      </x:c>
      <x:c r="D113" s="14" t="str">
        <x:v>शिमला मिर्च</x:v>
      </x:c>
      <x:c r="E113" s="14" t="str">
        <x:v>shimla mirch, capsicum, bell pepper</x:v>
      </x:c>
      <x:c r="F113" s="14" t="str">
        <x:v>Known varieties/types: California Wonder, Bharat, Indra, green/red/yellow capsicum, bell pepper hybrids</x:v>
      </x:c>
      <x:c r="G113" s="14" t="str">
        <x:v>Himachal Pradesh: Solan, Sirmaur; Karnataka: Bengaluru Rural, Kolar; Maharashtra: Pune, Nashik; Haryana/Delhi/NCR protected cultivation; Tamil Nadu: Nilgiris, Krishnagiri; Uttarakhand hill belts</x:v>
      </x:c>
      <x:c r="H113" s="31" t="str">
        <x:v>Plastic crate, bamboo basket, gunny/HDPE sack, mesh bag, or loose lot</x:v>
      </x:c>
      <x:c r="I113" s="31" t="str">
        <x:v>₹/kg, ₹/crate, ₹/bag, ₹/piece, or lot rate</x:v>
      </x:c>
      <x:c r="J113" s="31" t="str">
        <x:v>Typical vegetable crates/bags are 10-30 kg; heavier sacks may be 40-50 kg</x:v>
      </x:c>
      <x:c r="K113" s="31" t="str">
        <x:v>Normalize to ₹/kg. If quoted per crate/bag, use actual net weight after tare. Keep grade/size/quality note with quote.</x:v>
      </x:c>
      <x:c r="L113" s="31" t="str">
        <x:v>₹/kg</x:v>
      </x:c>
    </x:row>
    <x:row r="114" ht="74" customHeight="1">
      <x:c r="A114" s="14" t="str">
        <x:v>P0113</x:v>
      </x:c>
      <x:c r="B114" s="14" t="str">
        <x:v>VEGETABLES</x:v>
      </x:c>
      <x:c r="C114" s="14" t="str">
        <x:v>Carrot</x:v>
      </x:c>
      <x:c r="D114" s="14" t="str">
        <x:v>गाजर</x:v>
      </x:c>
      <x:c r="E114" s="14" t="str">
        <x:v>gajar, carrot</x:v>
      </x:c>
      <x:c r="F114" s="14" t="str">
        <x:v>Known varieties/types: Pusa Kesar, Nantes, Kuroda, Red Delhi, black carrot/niche types</x:v>
      </x:c>
      <x:c r="G114" s="14" t="str">
        <x:v>Haryana/Delhi/NCR: Sonipat, Karnal, Panipat; Uttar Pradesh: Meerut, Agra, Farrukhabad; Punjab: Ludhiana, Jalandhar; Rajasthan: Jaipur, Alwar; Karnataka/Tamil Nadu hill and peri-urban belts</x:v>
      </x:c>
      <x:c r="H114" s="31" t="str">
        <x:v>Plastic crate, gunny/HDPE bag, mesh bag, or loose basket depending on crop</x:v>
      </x:c>
      <x:c r="I114" s="31" t="str">
        <x:v>₹/kg, ₹/crate, ₹/bag, or bunch/count for small roots</x:v>
      </x:c>
      <x:c r="J114" s="31" t="str">
        <x:v>Usually 10-50 kg depending on root/tuber and distance; capture actual net weight</x:v>
      </x:c>
      <x:c r="K114" s="31" t="str">
        <x:v>Normalize to ₹/kg. For bag/crate quotes, ₹/kg = pack price ÷ net kg after tare.</x:v>
      </x:c>
      <x:c r="L114" s="31" t="str">
        <x:v>₹/kg</x:v>
      </x:c>
    </x:row>
    <x:row r="115" ht="74" customHeight="1">
      <x:c r="A115" s="14" t="str">
        <x:v>P0114</x:v>
      </x:c>
      <x:c r="B115" s="14" t="str">
        <x:v>VEGETABLES</x:v>
      </x:c>
      <x:c r="C115" s="14" t="str">
        <x:v>Cauliflower</x:v>
      </x:c>
      <x:c r="D115" s="14" t="str">
        <x:v>फूल गोभी</x:v>
      </x:c>
      <x:c r="E115" s="14" t="str">
        <x:v>phool gobhi, cauliflower</x:v>
      </x:c>
      <x:c r="F115" s="14" t="str">
        <x:v>Known varieties/types: Pusa Snowball, Pusa Katki, Pusa Deepali, Pant Shubhra, early/mid/late cauliflower</x:v>
      </x:c>
      <x:c r="G115" s="14" t="str">
        <x:v>West Bengal: Hooghly, Nadia; Bihar: Patna, Nalanda; Uttar Pradesh: Meerut, Kanpur, Lucknow; Haryana/Delhi/NCR: Sonipat, Karnal; Maharashtra: Pune, Nashik; Karnataka and Tamil Nadu hill/plains belts</x:v>
      </x:c>
      <x:c r="H115" s="31" t="str">
        <x:v>Plastic crate, bamboo basket, gunny/HDPE sack, mesh bag, or loose lot</x:v>
      </x:c>
      <x:c r="I115" s="31" t="str">
        <x:v>₹/kg, ₹/crate, ₹/bag, ₹/piece, or lot rate</x:v>
      </x:c>
      <x:c r="J115" s="31" t="str">
        <x:v>Typical vegetable crates/bags are 10-30 kg; heavier sacks may be 40-50 kg</x:v>
      </x:c>
      <x:c r="K115" s="31" t="str">
        <x:v>Normalize to ₹/kg. If quoted per crate/bag, use actual net weight after tare. Keep grade/size/quality note with quote.</x:v>
      </x:c>
      <x:c r="L115" s="31" t="str">
        <x:v>₹/kg</x:v>
      </x:c>
    </x:row>
    <x:row r="116" ht="74" customHeight="1">
      <x:c r="A116" s="14" t="str">
        <x:v>P0115</x:v>
      </x:c>
      <x:c r="B116" s="14" t="str">
        <x:v>VEGETABLES</x:v>
      </x:c>
      <x:c r="C116" s="14" t="str">
        <x:v>Cluster Beans</x:v>
      </x:c>
      <x:c r="D116" s="14" t="str">
        <x:v>ग्वार फली</x:v>
      </x:c>
      <x:c r="E116" s="14" t="str">
        <x:v>gwar phali, cluster beans, gawar</x:v>
      </x:c>
      <x:c r="F116" s="14" t="str">
        <x:v>Known varieties/types: Pusa Navbahar, HG-365, RGC series, guar phali types</x:v>
      </x:c>
      <x:c r="G116" s="14" t="str">
        <x:v>Rajasthan: Jodhpur, Bikaner, Nagaur; Gujarat: Kutch, Banaskantha; Haryana: Hisar, Bhiwani; Maharashtra: Ahmednagar, Solapur; vegetable-pod belts around Delhi/NCR</x:v>
      </x:c>
      <x:c r="H116" s="31" t="str">
        <x:v>Plastic crate, bamboo basket, gunny/HDPE sack, mesh bag, or loose lot</x:v>
      </x:c>
      <x:c r="I116" s="31" t="str">
        <x:v>₹/kg, ₹/crate, ₹/bag, ₹/piece, or lot rate</x:v>
      </x:c>
      <x:c r="J116" s="31" t="str">
        <x:v>Typical vegetable crates/bags are 10-30 kg; heavier sacks may be 40-50 kg</x:v>
      </x:c>
      <x:c r="K116" s="31" t="str">
        <x:v>Normalize to ₹/kg. If quoted per crate/bag, use actual net weight after tare. Keep grade/size/quality note with quote.</x:v>
      </x:c>
      <x:c r="L116" s="31" t="str">
        <x:v>₹/kg</x:v>
      </x:c>
    </x:row>
    <x:row r="117" ht="74" customHeight="1">
      <x:c r="A117" s="14" t="str">
        <x:v>P0116</x:v>
      </x:c>
      <x:c r="B117" s="14" t="str">
        <x:v>VEGETABLES</x:v>
      </x:c>
      <x:c r="C117" s="14" t="str">
        <x:v>Colocasia Vegetable</x:v>
      </x:c>
      <x:c r="D117" s="14" t="str">
        <x:v>अरबी</x:v>
      </x:c>
      <x:c r="E117" s="14" t="str">
        <x:v>arbi, colocasia, taro root</x:v>
      </x:c>
      <x:c r="F117" s="14" t="str">
        <x:v>Known varieties/types: Mukteshwar, local arbi/taro root and leaf types</x:v>
      </x:c>
      <x:c r="G117" s="14" t="str">
        <x:v>Uttar Pradesh, Bihar, Odisha, West Bengal, Maharashtra, Gujarat and Kerala humid/wet belts; areas include Varanasi, Patna, Cuttack, Nadia, Pune and Thrissur</x:v>
      </x:c>
      <x:c r="H117" s="31" t="str">
        <x:v>Plastic crate, gunny/HDPE bag, mesh bag, or loose basket depending on crop</x:v>
      </x:c>
      <x:c r="I117" s="31" t="str">
        <x:v>₹/kg, ₹/crate, ₹/bag, or bunch/count for small roots</x:v>
      </x:c>
      <x:c r="J117" s="31" t="str">
        <x:v>Usually 10-50 kg depending on root/tuber and distance; capture actual net weight</x:v>
      </x:c>
      <x:c r="K117" s="31" t="str">
        <x:v>Normalize to ₹/kg. For bag/crate quotes, ₹/kg = pack price ÷ net kg after tare.</x:v>
      </x:c>
      <x:c r="L117" s="31" t="str">
        <x:v>₹/kg</x:v>
      </x:c>
    </x:row>
    <x:row r="118" ht="74" customHeight="1">
      <x:c r="A118" s="14" t="str">
        <x:v>P0117</x:v>
      </x:c>
      <x:c r="B118" s="14" t="str">
        <x:v>VEGETABLES</x:v>
      </x:c>
      <x:c r="C118" s="14" t="str">
        <x:v>Coriander Leaves</x:v>
      </x:c>
      <x:c r="D118" s="14" t="str">
        <x:v>धनिया पत्ता</x:v>
      </x:c>
      <x:c r="E118" s="14" t="str">
        <x:v>dhaniya patta, coriander leaves, cilantro</x:v>
      </x:c>
      <x:c r="F118" s="14" t="str">
        <x:v>Known varieties/types: CO-1/2, Gujarat Coriander, RCr series; leaf coriander and seed coriander types</x:v>
      </x:c>
      <x:c r="G118" s="14" t="str">
        <x:v>Rajasthan: Kota, Jhalawar, Baran; Gujarat: Banaskantha, Mehsana; Madhya Pradesh: Mandsaur, Neemuch; fresh leaf belts around Pune, Nashik, Delhi NCR, Bengaluru and Hyderabad</x:v>
      </x:c>
      <x:c r="H118" s="31" t="str">
        <x:v>Bunches/bundles in plastic crate, bamboo basket, sack, or moist-lined carton</x:v>
      </x:c>
      <x:c r="I118" s="31" t="str">
        <x:v>₹/bunch, ₹/bundle, ₹/kg, or ₹/crate</x:v>
      </x:c>
      <x:c r="J118" s="31" t="str">
        <x:v>Bundle size varies heavily; capture bunch count and sample bundle weight</x:v>
      </x:c>
      <x:c r="K118" s="31" t="str">
        <x:v>Value by bunch if market quote is bunch-based. For analytics, normalize to ₹/kg only after sample weighing: ₹/kg = crate/bundle lot price ÷ net kg.</x:v>
      </x:c>
      <x:c r="L118" s="31" t="str">
        <x:v>₹/bunch and ₹/kg</x:v>
      </x:c>
    </x:row>
    <x:row r="119" ht="74" customHeight="1">
      <x:c r="A119" s="14" t="str">
        <x:v>P0118</x:v>
      </x:c>
      <x:c r="B119" s="14" t="str">
        <x:v>VEGETABLES</x:v>
      </x:c>
      <x:c r="C119" s="14" t="str">
        <x:v>Cucumber</x:v>
      </x:c>
      <x:c r="D119" s="14" t="str">
        <x:v>खीरा</x:v>
      </x:c>
      <x:c r="E119" s="14" t="str">
        <x:v>kheera, cucumber, kakdi</x:v>
      </x:c>
      <x:c r="F119" s="14" t="str">
        <x:v>Known varieties/types: Umran, Gola, Seb, Banarasi Karaka, Kaithali, Mehrun</x:v>
      </x:c>
      <x:c r="G119" s="14" t="str">
        <x:v>Rajasthan: Jaipur, Ajmer, Jodhpur, Barmer; Haryana: Hisar, Bhiwani; Punjab: Abohar, Fazilka; Gujarat: Kutch, Banaskantha; Maharashtra dry belts</x:v>
      </x:c>
      <x:c r="H119" s="31" t="str">
        <x:v>Plastic crate, bamboo basket, gunny/HDPE sack, mesh bag, or loose lot</x:v>
      </x:c>
      <x:c r="I119" s="31" t="str">
        <x:v>₹/kg, ₹/crate, ₹/bag, ₹/piece, or lot rate</x:v>
      </x:c>
      <x:c r="J119" s="31" t="str">
        <x:v>Typical vegetable crates/bags are 10-30 kg; heavier sacks may be 40-50 kg</x:v>
      </x:c>
      <x:c r="K119" s="31" t="str">
        <x:v>Normalize to ₹/kg. If quoted per crate/bag, use actual net weight after tare. Keep grade/size/quality note with quote.</x:v>
      </x:c>
      <x:c r="L119" s="31" t="str">
        <x:v>₹/kg</x:v>
      </x:c>
    </x:row>
    <x:row r="120" ht="74" customHeight="1">
      <x:c r="A120" s="14" t="str">
        <x:v>P0119</x:v>
      </x:c>
      <x:c r="B120" s="14" t="str">
        <x:v>VEGETABLES</x:v>
      </x:c>
      <x:c r="C120" s="14" t="str">
        <x:v>Curry Leaves</x:v>
      </x:c>
      <x:c r="D120" s="14" t="str">
        <x:v>करी पत्ता</x:v>
      </x:c>
      <x:c r="E120" s="14" t="str">
        <x:v>curry patta, curry leaves, kadhi patta</x:v>
      </x:c>
      <x:c r="F120" s="14" t="str">
        <x:v>Known varieties/types: local curry leaf selections; dwarf and regular types</x:v>
      </x:c>
      <x:c r="G120" s="14" t="str">
        <x:v>Tamil Nadu: Coimbatore, Erode, Dindigul; Karnataka: Bengaluru Rural, Kolar; Andhra/Telangana: Guntur, Warangal; Kerala and Maharashtra kitchen-garden/commercial belts</x:v>
      </x:c>
      <x:c r="H120" s="31" t="str">
        <x:v>Bunches/bundles in plastic crate, bamboo basket, sack, or moist-lined carton</x:v>
      </x:c>
      <x:c r="I120" s="31" t="str">
        <x:v>₹/bunch, ₹/bundle, ₹/kg, or ₹/crate</x:v>
      </x:c>
      <x:c r="J120" s="31" t="str">
        <x:v>Bundle size varies heavily; capture bunch count and sample bundle weight</x:v>
      </x:c>
      <x:c r="K120" s="31" t="str">
        <x:v>Value by bunch if market quote is bunch-based. For analytics, normalize to ₹/kg only after sample weighing: ₹/kg = crate/bundle lot price ÷ net kg.</x:v>
      </x:c>
      <x:c r="L120" s="31" t="str">
        <x:v>₹/bunch and ₹/kg</x:v>
      </x:c>
    </x:row>
    <x:row r="121" ht="74" customHeight="1">
      <x:c r="A121" s="14" t="str">
        <x:v>P0120</x:v>
      </x:c>
      <x:c r="B121" s="14" t="str">
        <x:v>VEGETABLES</x:v>
      </x:c>
      <x:c r="C121" s="14" t="str">
        <x:v>Drumstick</x:v>
      </x:c>
      <x:c r="D121" s="14" t="str">
        <x:v>सहजन / मुनगा</x:v>
      </x:c>
      <x:c r="E121" s="14" t="str">
        <x:v>sahjan / munga, drumstick, moringa pod</x:v>
      </x:c>
      <x:c r="F121" s="14" t="str">
        <x:v>Known varieties/types: PKM-1, PKM-2, Bhagya, local moringa pods and leaf types</x:v>
      </x:c>
      <x:c r="G121" s="14" t="str">
        <x:v>Tamil Nadu: Dindigul, Coimbatore, Theni; Andhra Pradesh: Anantapur, Kurnool; Karnataka: Bengaluru Rural, Kolar; Maharashtra: Pune, Nashik; Gujarat/Rajasthan dryland belts</x:v>
      </x:c>
      <x:c r="H121" s="31" t="str">
        <x:v>Plastic crate, bamboo basket, gunny/HDPE sack, mesh bag, or loose lot</x:v>
      </x:c>
      <x:c r="I121" s="31" t="str">
        <x:v>₹/kg, ₹/crate, ₹/bag, ₹/piece, or lot rate</x:v>
      </x:c>
      <x:c r="J121" s="31" t="str">
        <x:v>Typical vegetable crates/bags are 10-30 kg; heavier sacks may be 40-50 kg</x:v>
      </x:c>
      <x:c r="K121" s="31" t="str">
        <x:v>Normalize to ₹/kg. If quoted per crate/bag, use actual net weight after tare. Keep grade/size/quality note with quote.</x:v>
      </x:c>
      <x:c r="L121" s="31" t="str">
        <x:v>₹/kg</x:v>
      </x:c>
    </x:row>
    <x:row r="122" ht="74" customHeight="1">
      <x:c r="A122" s="14" t="str">
        <x:v>P0121</x:v>
      </x:c>
      <x:c r="B122" s="14" t="str">
        <x:v>VEGETABLES</x:v>
      </x:c>
      <x:c r="C122" s="14" t="str">
        <x:v>Fenugreek Leaves</x:v>
      </x:c>
      <x:c r="D122" s="14" t="str">
        <x:v>मेथी पत्ता</x:v>
      </x:c>
      <x:c r="E122" s="14" t="str">
        <x:v>methi patta, methi leaves, fenugreek leaves</x:v>
      </x:c>
      <x:c r="F122" s="14" t="str">
        <x:v>Known varieties/types: Kasuri methi, Pusa Early Bunching, RMt types, fresh methi and microgreen types</x:v>
      </x:c>
      <x:c r="G122" s="14" t="str">
        <x:v>Rajasthan: Jaipur, Sikar; Gujarat: Mehsana, Banaskantha; Madhya Pradesh: Indore, Ujjain; Maharashtra: Pune/Nashik; Haryana/Delhi NCR winter leafy-green belts</x:v>
      </x:c>
      <x:c r="H122" s="31" t="str">
        <x:v>Bunches/bundles in plastic crate, bamboo basket, sack, or moist-lined carton</x:v>
      </x:c>
      <x:c r="I122" s="31" t="str">
        <x:v>₹/bunch, ₹/bundle, ₹/kg, or ₹/crate</x:v>
      </x:c>
      <x:c r="J122" s="31" t="str">
        <x:v>Bundle size varies heavily; capture bunch count and sample bundle weight</x:v>
      </x:c>
      <x:c r="K122" s="31" t="str">
        <x:v>Value by bunch if market quote is bunch-based. For analytics, normalize to ₹/kg only after sample weighing: ₹/kg = crate/bundle lot price ÷ net kg.</x:v>
      </x:c>
      <x:c r="L122" s="31" t="str">
        <x:v>₹/bunch and ₹/kg</x:v>
      </x:c>
    </x:row>
    <x:row r="123" ht="74" customHeight="1">
      <x:c r="A123" s="14" t="str">
        <x:v>P0122</x:v>
      </x:c>
      <x:c r="B123" s="14" t="str">
        <x:v>VEGETABLES</x:v>
      </x:c>
      <x:c r="C123" s="14" t="str">
        <x:v>Garlic</x:v>
      </x:c>
      <x:c r="D123" s="14" t="str">
        <x:v>लहसुन</x:v>
      </x:c>
      <x:c r="E123" s="14" t="str">
        <x:v>lahsun, garlic</x:v>
      </x:c>
      <x:c r="F123" s="14" t="str">
        <x:v>Known varieties/types: Yamuna Safed/G-1, G-282, Agrifound White, Bhima Purple, Snow Mountain garlic</x:v>
      </x:c>
      <x:c r="G123" s="14" t="str">
        <x:v>Madhya Pradesh: Mandsaur, Neemuch, Ratlam; Rajasthan: Kota, Baran, Jodhpur; Gujarat: Rajkot, Jamnagar; Uttar Pradesh/Maharashtra pockets; Snow Mountain garlic from high-altitude Jammu &amp; Kashmir/Himachal/Ladakh belts</x:v>
      </x:c>
      <x:c r="H123" s="31" t="str">
        <x:v>Gunny/jute bag, HDPE/PP woven sack, mesh bag, or plastic crate for graded lots</x:v>
      </x:c>
      <x:c r="I123" s="31" t="str">
        <x:v>₹/kg, ₹/quintal, ₹/bag, or ₹/crate</x:v>
      </x:c>
      <x:c r="J123" s="31" t="str">
        <x:v>Common bags are 25-50 kg; onion/potato often 40-50 kg bags; capture actual net weight</x:v>
      </x:c>
      <x:c r="K123" s="31" t="str">
        <x:v>Normalize to ₹/kg or ₹/quintal. If quoted per bag, subtract tare if needed and divide by net kg.</x:v>
      </x:c>
      <x:c r="L123" s="31" t="str">
        <x:v>₹/kg or ₹/quintal</x:v>
      </x:c>
    </x:row>
    <x:row r="124" ht="74" customHeight="1">
      <x:c r="A124" s="14" t="str">
        <x:v>P0123</x:v>
      </x:c>
      <x:c r="B124" s="14" t="str">
        <x:v>VEGETABLES</x:v>
      </x:c>
      <x:c r="C124" s="14" t="str">
        <x:v>Gherkin</x:v>
      </x:c>
      <x:c r="D124" s="14" t="str">
        <x:v>छोटी ककड़ी / गेरकिन</x:v>
      </x:c>
      <x:c r="E124" s="14" t="str">
        <x:v>chhoti kakdi / gherkin, gherkin, small cucumber</x:v>
      </x:c>
      <x:c r="F124" s="14" t="str">
        <x:v>Known varieties/types: Umran, Gola, Seb, Banarasi Karaka, Kaithali, Mehrun</x:v>
      </x:c>
      <x:c r="G124" s="14" t="str">
        <x:v>Rajasthan: Jaipur, Ajmer, Jodhpur, Barmer; Haryana: Hisar, Bhiwani; Punjab: Abohar, Fazilka; Gujarat: Kutch, Banaskantha; Maharashtra dry belts</x:v>
      </x:c>
      <x:c r="H124" s="31" t="str">
        <x:v>Plastic crate, bamboo basket, gunny/HDPE sack, mesh bag, or loose lot</x:v>
      </x:c>
      <x:c r="I124" s="31" t="str">
        <x:v>₹/kg, ₹/crate, ₹/bag, ₹/piece, or lot rate</x:v>
      </x:c>
      <x:c r="J124" s="31" t="str">
        <x:v>Typical vegetable crates/bags are 10-30 kg; heavier sacks may be 40-50 kg</x:v>
      </x:c>
      <x:c r="K124" s="31" t="str">
        <x:v>Normalize to ₹/kg. If quoted per crate/bag, use actual net weight after tare. Keep grade/size/quality note with quote.</x:v>
      </x:c>
      <x:c r="L124" s="31" t="str">
        <x:v>₹/kg</x:v>
      </x:c>
    </x:row>
    <x:row r="125" ht="74" customHeight="1">
      <x:c r="A125" s="14" t="str">
        <x:v>P0124</x:v>
      </x:c>
      <x:c r="B125" s="14" t="str">
        <x:v>VEGETABLES</x:v>
      </x:c>
      <x:c r="C125" s="14" t="str">
        <x:v>Ginger</x:v>
      </x:c>
      <x:c r="D125" s="14" t="str">
        <x:v>अदरक</x:v>
      </x:c>
      <x:c r="E125" s="14" t="str">
        <x:v>adrak, ginger</x:v>
      </x:c>
      <x:c r="F125" s="14" t="str">
        <x:v>Known varieties/types: Nadia, Rio-de-Janeiro, Maran, Varada, Mahima, Rejatha</x:v>
      </x:c>
      <x:c r="G125" s="14" t="str">
        <x:v>Kerala: Idukki, Wayanad; Karnataka: Kodagu, Hassan, Chikkamagaluru; Meghalaya: West Khasi Hills, Ri-Bhoi; Assam: Karbi Anglong; Sikkim and Arunachal hill belts; Maharashtra Satara/Sangli pockets</x:v>
      </x:c>
      <x:c r="H125" s="31" t="str">
        <x:v>Gunny/jute bag, HDPE/PP woven sack, mesh bag, or plastic crate for graded lots</x:v>
      </x:c>
      <x:c r="I125" s="31" t="str">
        <x:v>₹/kg, ₹/quintal, ₹/bag, or ₹/crate</x:v>
      </x:c>
      <x:c r="J125" s="31" t="str">
        <x:v>Common bags are 25-50 kg; onion/potato often 40-50 kg bags; capture actual net weight</x:v>
      </x:c>
      <x:c r="K125" s="31" t="str">
        <x:v>Normalize to ₹/kg or ₹/quintal. If quoted per bag, subtract tare if needed and divide by net kg.</x:v>
      </x:c>
      <x:c r="L125" s="31" t="str">
        <x:v>₹/kg or ₹/quintal</x:v>
      </x:c>
    </x:row>
    <x:row r="126" ht="74" customHeight="1">
      <x:c r="A126" s="14" t="str">
        <x:v>P0125</x:v>
      </x:c>
      <x:c r="B126" s="14" t="str">
        <x:v>VEGETABLES</x:v>
      </x:c>
      <x:c r="C126" s="14" t="str">
        <x:v>Green Amaranthus</x:v>
      </x:c>
      <x:c r="D126" s="14" t="str">
        <x:v>हरी चौलाई</x:v>
      </x:c>
      <x:c r="E126" s="14" t="str">
        <x:v>hari chaulai, green amaranth, chaulai saag</x:v>
      </x:c>
      <x:c r="F126" s="14" t="str">
        <x:v>Known varieties/types: CO-1, CO-2, red amaranth, green amaranth, local chaulai types</x:v>
      </x:c>
      <x:c r="G126" s="14" t="str">
        <x:v>Tamil Nadu, Kerala, Karnataka, Andhra/Telangana, West Bengal, Odisha, Maharashtra and Gujarat leafy-green belts; areas include Coimbatore, Thrissur, Kolar, Guntur, Nadia, Cuttack and Pune</x:v>
      </x:c>
      <x:c r="H126" s="31" t="str">
        <x:v>Plastic crate, bamboo basket, gunny/HDPE sack, mesh bag, or loose lot</x:v>
      </x:c>
      <x:c r="I126" s="31" t="str">
        <x:v>₹/kg, ₹/crate, ₹/bag, ₹/piece, or lot rate</x:v>
      </x:c>
      <x:c r="J126" s="31" t="str">
        <x:v>Typical vegetable crates/bags are 10-30 kg; heavier sacks may be 40-50 kg</x:v>
      </x:c>
      <x:c r="K126" s="31" t="str">
        <x:v>Normalize to ₹/kg. If quoted per crate/bag, use actual net weight after tare. Keep grade/size/quality note with quote.</x:v>
      </x:c>
      <x:c r="L126" s="31" t="str">
        <x:v>₹/kg</x:v>
      </x:c>
    </x:row>
    <x:row r="127" ht="74" customHeight="1">
      <x:c r="A127" s="14" t="str">
        <x:v>P0126</x:v>
      </x:c>
      <x:c r="B127" s="14" t="str">
        <x:v>VEGETABLES</x:v>
      </x:c>
      <x:c r="C127" s="14" t="str">
        <x:v>Green Chillies</x:v>
      </x:c>
      <x:c r="D127" s="14" t="str">
        <x:v>हरी मिर्च</x:v>
      </x:c>
      <x:c r="E127" s="14" t="str">
        <x:v>hari mirch, green chilli</x:v>
      </x:c>
      <x:c r="F127" s="14" t="str">
        <x:v>Known varieties/types: Pusa Jwala, Teja, Byadgi, Guntur Sannam, Kashmiri, Jwala, round chilli, fresh red chilli</x:v>
      </x:c>
      <x:c r="G127" s="14" t="str">
        <x:v>Andhra Pradesh: Guntur, Prakasam, Krishna; Telangana: Warangal, Khammam; Karnataka: Haveri, Dharwad; Maharashtra: Nagpur, Nandurbar; Rajasthan: Jodhpur/Mathania; Tamil Nadu: Ramanathapuram, Virudhunagar; Kashmir chilli pockets</x:v>
      </x:c>
      <x:c r="H127" s="31" t="str">
        <x:v>Plastic crate, bamboo basket, gunny/HDPE sack, mesh bag, or loose lot</x:v>
      </x:c>
      <x:c r="I127" s="31" t="str">
        <x:v>₹/kg, ₹/crate, ₹/bag, ₹/piece, or lot rate</x:v>
      </x:c>
      <x:c r="J127" s="31" t="str">
        <x:v>Typical vegetable crates/bags are 10-30 kg; heavier sacks may be 40-50 kg</x:v>
      </x:c>
      <x:c r="K127" s="31" t="str">
        <x:v>Normalize to ₹/kg. If quoted per crate/bag, use actual net weight after tare. Keep grade/size/quality note with quote.</x:v>
      </x:c>
      <x:c r="L127" s="31" t="str">
        <x:v>₹/kg</x:v>
      </x:c>
    </x:row>
    <x:row r="128" ht="74" customHeight="1">
      <x:c r="A128" s="14" t="str">
        <x:v>P0127</x:v>
      </x:c>
      <x:c r="B128" s="14" t="str">
        <x:v>VEGETABLES</x:v>
      </x:c>
      <x:c r="C128" s="14" t="str">
        <x:v>Ivy Gourd</x:v>
      </x:c>
      <x:c r="D128" s="14" t="str">
        <x:v>कुंदरू / टिंडोरा</x:v>
      </x:c>
      <x:c r="E128" s="14" t="str">
        <x:v>kundru / tindora, ivy gourd, tindora</x:v>
      </x:c>
      <x:c r="F128" s="14" t="str">
        <x:v>Known varieties/types: local kundru/tindora clones; cultivar names less standardized</x:v>
      </x:c>
      <x:c r="G128" s="14" t="str">
        <x:v>Gujarat, Maharashtra, Karnataka, Tamil Nadu, Andhra/Telangana and Odisha warm belts; areas include Ahmedabad, Pune, Kolar, Coimbatore, Guntur and Cuttack</x:v>
      </x:c>
      <x:c r="H128" s="31" t="str">
        <x:v>Plastic crate, bamboo basket, gunny/HDPE sack, mesh bag, or loose lot</x:v>
      </x:c>
      <x:c r="I128" s="31" t="str">
        <x:v>₹/kg, ₹/crate, ₹/bag, ₹/piece, or lot rate</x:v>
      </x:c>
      <x:c r="J128" s="31" t="str">
        <x:v>Typical vegetable crates/bags are 10-30 kg; heavier sacks may be 40-50 kg</x:v>
      </x:c>
      <x:c r="K128" s="31" t="str">
        <x:v>Normalize to ₹/kg. If quoted per crate/bag, use actual net weight after tare. Keep grade/size/quality note with quote.</x:v>
      </x:c>
      <x:c r="L128" s="31" t="str">
        <x:v>₹/kg</x:v>
      </x:c>
    </x:row>
    <x:row r="129" ht="74" customHeight="1">
      <x:c r="A129" s="14" t="str">
        <x:v>P0128</x:v>
      </x:c>
      <x:c r="B129" s="14" t="str">
        <x:v>VEGETABLES</x:v>
      </x:c>
      <x:c r="C129" s="14" t="str">
        <x:v>Jimikand / Suran</x:v>
      </x:c>
      <x:c r="D129" s="14" t="str">
        <x:v>जिमीकंद / सूरन</x:v>
      </x:c>
      <x:c r="E129" s="14" t="str">
        <x:v>jimikand / suran, elephant foot yam</x:v>
      </x:c>
      <x:c r="F129" s="14" t="str">
        <x:v>Known varieties/types: Gajendra, Sree Padma, purple yam, white yam, local suran/ratalu types</x:v>
      </x:c>
      <x:c r="G129" s="14" t="str">
        <x:v>Kerala, Tamil Nadu, Odisha, West Bengal, Bihar and North East tuber belts; areas include Wayanad, Coimbatore, Koraput, Nadia, Patna and Assam valley pockets</x:v>
      </x:c>
      <x:c r="H129" s="31" t="str">
        <x:v>Plastic crate, gunny/HDPE bag, mesh bag, or loose basket depending on crop</x:v>
      </x:c>
      <x:c r="I129" s="31" t="str">
        <x:v>₹/kg, ₹/crate, ₹/bag, or bunch/count for small roots</x:v>
      </x:c>
      <x:c r="J129" s="31" t="str">
        <x:v>Usually 10-50 kg depending on root/tuber and distance; capture actual net weight</x:v>
      </x:c>
      <x:c r="K129" s="31" t="str">
        <x:v>Normalize to ₹/kg. For bag/crate quotes, ₹/kg = pack price ÷ net kg after tare.</x:v>
      </x:c>
      <x:c r="L129" s="31" t="str">
        <x:v>₹/kg</x:v>
      </x:c>
    </x:row>
    <x:row r="130" ht="74" customHeight="1">
      <x:c r="A130" s="14" t="str">
        <x:v>P0129</x:v>
      </x:c>
      <x:c r="B130" s="14" t="str">
        <x:v>VEGETABLES</x:v>
      </x:c>
      <x:c r="C130" s="14" t="str">
        <x:v>Lesser Yam</x:v>
      </x:c>
      <x:c r="D130" s="14" t="str">
        <x:v>छोटा रतालू / लेसर याम</x:v>
      </x:c>
      <x:c r="E130" s="14" t="str">
        <x:v>chhota ratalu / lesser yam, lesser yam</x:v>
      </x:c>
      <x:c r="F130" s="14" t="str">
        <x:v>Known varieties/types: Gajendra, Sree Padma, purple yam, white yam, local suran/ratalu types</x:v>
      </x:c>
      <x:c r="G130" s="14" t="str">
        <x:v>Kerala, Tamil Nadu, Odisha, West Bengal, Bihar and North East tuber belts; areas include Wayanad, Coimbatore, Koraput, Nadia, Patna and Assam valley pockets</x:v>
      </x:c>
      <x:c r="H130" s="31" t="str">
        <x:v>Plastic crate, gunny/HDPE bag, mesh bag, or loose basket depending on crop</x:v>
      </x:c>
      <x:c r="I130" s="31" t="str">
        <x:v>₹/kg, ₹/crate, ₹/bag, or bunch/count for small roots</x:v>
      </x:c>
      <x:c r="J130" s="31" t="str">
        <x:v>Usually 10-50 kg depending on root/tuber and distance; capture actual net weight</x:v>
      </x:c>
      <x:c r="K130" s="31" t="str">
        <x:v>Normalize to ₹/kg. For bag/crate quotes, ₹/kg = pack price ÷ net kg after tare.</x:v>
      </x:c>
      <x:c r="L130" s="31" t="str">
        <x:v>₹/kg</x:v>
      </x:c>
    </x:row>
    <x:row r="131" ht="74" customHeight="1">
      <x:c r="A131" s="14" t="str">
        <x:v>P0130</x:v>
      </x:c>
      <x:c r="B131" s="14" t="str">
        <x:v>VEGETABLES</x:v>
      </x:c>
      <x:c r="C131" s="14" t="str">
        <x:v>Lobia Pods</x:v>
      </x:c>
      <x:c r="D131" s="14" t="str">
        <x:v>लोबिया फली</x:v>
      </x:c>
      <x:c r="E131" s="14" t="str">
        <x:v>lobia phali, cowpea pods</x:v>
      </x:c>
      <x:c r="F131" s="14" t="str">
        <x:v>Known varieties/types: Pusa Komal, Kashi Kanchan, Arka Garima, cowpea grain and pod types</x:v>
      </x:c>
      <x:c r="G131" s="14" t="str">
        <x:v>Rajasthan: Jaipur, Nagaur, Jodhpur; Uttar Pradesh: Meerut, Saharanpur, Lucknow; Karnataka: Bengaluru Rural, Kolar; Gujarat dryland belts; Haryana/Punjab vegetable-pod belts</x:v>
      </x:c>
      <x:c r="H131" s="31" t="str">
        <x:v>Plastic crate, bamboo basket, gunny/HDPE sack, mesh bag, or loose lot</x:v>
      </x:c>
      <x:c r="I131" s="31" t="str">
        <x:v>₹/kg, ₹/crate, ₹/bag, ₹/piece, or lot rate</x:v>
      </x:c>
      <x:c r="J131" s="31" t="str">
        <x:v>Typical vegetable crates/bags are 10-30 kg; heavier sacks may be 40-50 kg</x:v>
      </x:c>
      <x:c r="K131" s="31" t="str">
        <x:v>Normalize to ₹/kg. If quoted per crate/bag, use actual net weight after tare. Keep grade/size/quality note with quote.</x:v>
      </x:c>
      <x:c r="L131" s="31" t="str">
        <x:v>₹/kg</x:v>
      </x:c>
    </x:row>
    <x:row r="132" ht="74" customHeight="1">
      <x:c r="A132" s="14" t="str">
        <x:v>P0131</x:v>
      </x:c>
      <x:c r="B132" s="14" t="str">
        <x:v>VEGETABLES</x:v>
      </x:c>
      <x:c r="C132" s="14" t="str">
        <x:v>Lotus Stem</x:v>
      </x:c>
      <x:c r="D132" s="14" t="str">
        <x:v>कमल ककड़ी</x:v>
      </x:c>
      <x:c r="E132" s="14" t="str">
        <x:v>kamal kakdi, lotus stem, nadru</x:v>
      </x:c>
      <x:c r="F132" s="14" t="str">
        <x:v>Known varieties/types: lotus stem/kamal kakdi local wetland types; cultivar names less standardized</x:v>
      </x:c>
      <x:c r="G132" s="14" t="str">
        <x:v>Jammu &amp; Kashmir: Dal/Wular lake belts around Srinagar, Anantnag; Bihar/UP wetlands; Odisha/West Bengal wetland belts; arrivals in Delhi and Punjab mandis</x:v>
      </x:c>
      <x:c r="H132" s="31" t="str">
        <x:v>Plastic crate, gunny/HDPE bag, mesh bag, or loose basket depending on crop</x:v>
      </x:c>
      <x:c r="I132" s="31" t="str">
        <x:v>₹/kg, ₹/crate, ₹/bag, or bunch/count for small roots</x:v>
      </x:c>
      <x:c r="J132" s="31" t="str">
        <x:v>Usually 10-50 kg depending on root/tuber and distance; capture actual net weight</x:v>
      </x:c>
      <x:c r="K132" s="31" t="str">
        <x:v>Normalize to ₹/kg. For bag/crate quotes, ₹/kg = pack price ÷ net kg after tare.</x:v>
      </x:c>
      <x:c r="L132" s="31" t="str">
        <x:v>₹/kg</x:v>
      </x:c>
    </x:row>
    <x:row r="133" ht="74" customHeight="1">
      <x:c r="A133" s="14" t="str">
        <x:v>P0132</x:v>
      </x:c>
      <x:c r="B133" s="14" t="str">
        <x:v>VEGETABLES</x:v>
      </x:c>
      <x:c r="C133" s="14" t="str">
        <x:v>Mint Leaves</x:v>
      </x:c>
      <x:c r="D133" s="14" t="str">
        <x:v>पुदीना</x:v>
      </x:c>
      <x:c r="E133" s="14" t="str">
        <x:v>pudina, mint leaves</x:v>
      </x:c>
      <x:c r="F133" s="14" t="str">
        <x:v>Known varieties/types: Kosi, Himalaya, Kushal, Shivalik, mentha/mint sprigs market types</x:v>
      </x:c>
      <x:c r="G133" s="14" t="str">
        <x:v>Uttar Pradesh: Barabanki, Sitapur, Badaun, Moradabad; Punjab/Haryana pockets; fresh mint around Delhi NCR, Pune, Bengaluru and Hyderabad peri-urban belts</x:v>
      </x:c>
      <x:c r="H133" s="31" t="str">
        <x:v>Bunches/bundles in plastic crate, bamboo basket, sack, or moist-lined carton</x:v>
      </x:c>
      <x:c r="I133" s="31" t="str">
        <x:v>₹/bunch, ₹/bundle, ₹/kg, or ₹/crate</x:v>
      </x:c>
      <x:c r="J133" s="31" t="str">
        <x:v>Bundle size varies heavily; capture bunch count and sample bundle weight</x:v>
      </x:c>
      <x:c r="K133" s="31" t="str">
        <x:v>Value by bunch if market quote is bunch-based. For analytics, normalize to ₹/kg only after sample weighing: ₹/kg = crate/bundle lot price ÷ net kg.</x:v>
      </x:c>
      <x:c r="L133" s="31" t="str">
        <x:v>₹/bunch and ₹/kg</x:v>
      </x:c>
    </x:row>
    <x:row r="134" ht="74" customHeight="1">
      <x:c r="A134" s="14" t="str">
        <x:v>P0133</x:v>
      </x:c>
      <x:c r="B134" s="14" t="str">
        <x:v>VEGETABLES</x:v>
      </x:c>
      <x:c r="C134" s="14" t="str">
        <x:v>Mustard Leaf</x:v>
      </x:c>
      <x:c r="D134" s="14" t="str">
        <x:v>सरसों का साग</x:v>
      </x:c>
      <x:c r="E134" s="14" t="str">
        <x:v>sarson ka saag, mustard greens</x:v>
      </x:c>
      <x:c r="F134" s="14" t="str">
        <x:v>Known varieties/types: Pusa Bold, Pusa Mustard-25/26/30, Varuna, Rohini, RH-749, yellow sarson and brown rai types</x:v>
      </x:c>
      <x:c r="G134" s="14" t="str">
        <x:v>Rajasthan: Bharatpur, Alwar, Jaipur, Sikar, Ganganagar, Hanumangarh; Haryana: Hisar, Bhiwani, Sirsa, Mahendragarh; Uttar Pradesh: Agra, Mathura, Aligarh, Kanpur; Madhya Pradesh: Morena, Bhind, Gwalior; Gujarat: Banaskantha, Mehsana</x:v>
      </x:c>
      <x:c r="H134" s="31" t="str">
        <x:v>Bunches/bundles in plastic crate, bamboo basket, sack, or moist-lined carton</x:v>
      </x:c>
      <x:c r="I134" s="31" t="str">
        <x:v>₹/bunch, ₹/bundle, ₹/kg, or ₹/crate</x:v>
      </x:c>
      <x:c r="J134" s="31" t="str">
        <x:v>Bundle size varies heavily; capture bunch count and sample bundle weight</x:v>
      </x:c>
      <x:c r="K134" s="31" t="str">
        <x:v>Value by bunch if market quote is bunch-based. For analytics, normalize to ₹/kg only after sample weighing: ₹/kg = crate/bundle lot price ÷ net kg.</x:v>
      </x:c>
      <x:c r="L134" s="31" t="str">
        <x:v>₹/bunch and ₹/kg</x:v>
      </x:c>
    </x:row>
    <x:row r="135" ht="74" customHeight="1">
      <x:c r="A135" s="14" t="str">
        <x:v>P0134</x:v>
      </x:c>
      <x:c r="B135" s="14" t="str">
        <x:v>VEGETABLES</x:v>
      </x:c>
      <x:c r="C135" s="14" t="str">
        <x:v>Onion</x:v>
      </x:c>
      <x:c r="D135" s="14" t="str">
        <x:v>प्याज</x:v>
      </x:c>
      <x:c r="E135" s="14" t="str">
        <x:v>pyaaz, onion</x:v>
      </x:c>
      <x:c r="F135" s="14" t="str">
        <x:v>Known varieties/types: N-53, Agrifound Light Red, Bhima Super, Bhima Shakti, Pusa Red, White onion, Red onion, Pearl onion</x:v>
      </x:c>
      <x:c r="G135" s="14" t="str">
        <x:v>Maharashtra: Nashik/Lasalgaon, Ahmednagar, Pune, Solapur; Karnataka: Chitradurga, Vijayapura, Dharwad; Gujarat: Bhavnagar, Rajkot; Madhya Pradesh: Mandsaur, Neemuch, Indore; Rajasthan: Alwar, Sikar; Andhra/Telangana and Tamil Nadu pockets</x:v>
      </x:c>
      <x:c r="H135" s="31" t="str">
        <x:v>Gunny/jute bag, HDPE/PP woven sack, mesh bag, or plastic crate for graded lots</x:v>
      </x:c>
      <x:c r="I135" s="31" t="str">
        <x:v>₹/kg, ₹/quintal, ₹/bag, or ₹/crate</x:v>
      </x:c>
      <x:c r="J135" s="31" t="str">
        <x:v>Common bags are 25-50 kg; onion/potato often 40-50 kg bags; capture actual net weight</x:v>
      </x:c>
      <x:c r="K135" s="31" t="str">
        <x:v>Normalize to ₹/kg or ₹/quintal. If quoted per bag, subtract tare if needed and divide by net kg.</x:v>
      </x:c>
      <x:c r="L135" s="31" t="str">
        <x:v>₹/kg or ₹/quintal</x:v>
      </x:c>
    </x:row>
    <x:row r="136" ht="74" customHeight="1">
      <x:c r="A136" s="14" t="str">
        <x:v>P0135</x:v>
      </x:c>
      <x:c r="B136" s="14" t="str">
        <x:v>VEGETABLES</x:v>
      </x:c>
      <x:c r="C136" s="14" t="str">
        <x:v>Oyster Mushroom</x:v>
      </x:c>
      <x:c r="D136" s="14" t="str">
        <x:v>ऑयस्टर मशरूम</x:v>
      </x:c>
      <x:c r="E136" s="14" t="str">
        <x:v>oyster mushroom, dhingri mushroom</x:v>
      </x:c>
      <x:c r="F136" s="14" t="str">
        <x:v>Known varieties/types: Button, Oyster, Milky, Paddy Straw, Shiitake, Portobello; strain names differ by lab</x:v>
      </x:c>
      <x:c r="G136" s="14" t="str">
        <x:v>Himachal: Solan; Haryana: Sonipat, Gurugram; Punjab: Ludhiana; Maharashtra: Pune; Karnataka: Bengaluru; Tamil Nadu: Coimbatore; Odisha and North East oyster/paddy-straw mushroom belts</x:v>
      </x:c>
      <x:c r="H136" s="31" t="str">
        <x:v>Plastic tray, punnet, ventilated carton, or cold-chain crate</x:v>
      </x:c>
      <x:c r="I136" s="31" t="str">
        <x:v>₹/kg, ₹/tray, ₹/punnet, or ₹/carton</x:v>
      </x:c>
      <x:c r="J136" s="31" t="str">
        <x:v>Common trade packs range from small trays to 1-5 kg cartons; capture net weight</x:v>
      </x:c>
      <x:c r="K136" s="31" t="str">
        <x:v>Normalize to ₹/kg. If quoted per tray/carton, divide by net kg and record variety/type separately.</x:v>
      </x:c>
      <x:c r="L136" s="31" t="str">
        <x:v>₹/kg</x:v>
      </x:c>
    </x:row>
    <x:row r="137" ht="74" customHeight="1">
      <x:c r="A137" s="14" t="str">
        <x:v>P0136</x:v>
      </x:c>
      <x:c r="B137" s="14" t="str">
        <x:v>VEGETABLES</x:v>
      </x:c>
      <x:c r="C137" s="14" t="str">
        <x:v>Pea</x:v>
      </x:c>
      <x:c r="D137" s="14" t="str">
        <x:v>मटर</x:v>
      </x:c>
      <x:c r="E137" s="14" t="str">
        <x:v>matar, green pea, peas</x:v>
      </x:c>
      <x:c r="F137" s="14" t="str">
        <x:v>Known varieties/types: Arkel, Bonneville, Azad P-1, Pant Uphar, snow peas and sugar snap peas</x:v>
      </x:c>
      <x:c r="G137" s="14" t="str">
        <x:v>Uttar Pradesh: Meerut, Saharanpur, Agra; Madhya Pradesh: Jabalpur, Sagar; Punjab/Haryana winter belts; Himachal/Uttarakhand hill peas; Karnataka/Tamil Nadu cool belts</x:v>
      </x:c>
      <x:c r="H137" s="31" t="str">
        <x:v>Plastic crate, bamboo basket, gunny/HDPE sack, mesh bag, or loose lot</x:v>
      </x:c>
      <x:c r="I137" s="31" t="str">
        <x:v>₹/kg, ₹/crate, ₹/bag, ₹/piece, or lot rate</x:v>
      </x:c>
      <x:c r="J137" s="31" t="str">
        <x:v>Typical vegetable crates/bags are 10-30 kg; heavier sacks may be 40-50 kg</x:v>
      </x:c>
      <x:c r="K137" s="31" t="str">
        <x:v>Normalize to ₹/kg. If quoted per crate/bag, use actual net weight after tare. Keep grade/size/quality note with quote.</x:v>
      </x:c>
      <x:c r="L137" s="31" t="str">
        <x:v>₹/kg</x:v>
      </x:c>
    </x:row>
    <x:row r="138" ht="74" customHeight="1">
      <x:c r="A138" s="14" t="str">
        <x:v>P0137</x:v>
      </x:c>
      <x:c r="B138" s="14" t="str">
        <x:v>VEGETABLES</x:v>
      </x:c>
      <x:c r="C138" s="14" t="str">
        <x:v>Pointed Gourd</x:v>
      </x:c>
      <x:c r="D138" s="14" t="str">
        <x:v>परवल</x:v>
      </x:c>
      <x:c r="E138" s="14" t="str">
        <x:v>parwal, pointed gourd</x:v>
      </x:c>
      <x:c r="F138" s="14" t="str">
        <x:v>Known varieties/types: Swarna Rekha, Rajendra Parwal, local parwal clones</x:v>
      </x:c>
      <x:c r="G138" s="14" t="str">
        <x:v>Bihar: Patna, Nalanda, Vaishali; West Bengal: Nadia, Hooghly, North 24 Parganas; Uttar Pradesh: Varanasi, Gorakhpur; Odisha: Cuttack; Assam pockets</x:v>
      </x:c>
      <x:c r="H138" s="31" t="str">
        <x:v>Plastic crate, bamboo basket, gunny/HDPE sack, mesh bag, or loose lot</x:v>
      </x:c>
      <x:c r="I138" s="31" t="str">
        <x:v>₹/kg, ₹/crate, ₹/bag, ₹/piece, or lot rate</x:v>
      </x:c>
      <x:c r="J138" s="31" t="str">
        <x:v>Typical vegetable crates/bags are 10-30 kg; heavier sacks may be 40-50 kg</x:v>
      </x:c>
      <x:c r="K138" s="31" t="str">
        <x:v>Normalize to ₹/kg. If quoted per crate/bag, use actual net weight after tare. Keep grade/size/quality note with quote.</x:v>
      </x:c>
      <x:c r="L138" s="31" t="str">
        <x:v>₹/kg</x:v>
      </x:c>
    </x:row>
    <x:row r="139" ht="74" customHeight="1">
      <x:c r="A139" s="14" t="str">
        <x:v>P0138</x:v>
      </x:c>
      <x:c r="B139" s="14" t="str">
        <x:v>VEGETABLES</x:v>
      </x:c>
      <x:c r="C139" s="14" t="str">
        <x:v>Potato</x:v>
      </x:c>
      <x:c r="D139" s="14" t="str">
        <x:v>आलू</x:v>
      </x:c>
      <x:c r="E139" s="14" t="str">
        <x:v>aloo, potato</x:v>
      </x:c>
      <x:c r="F139" s="14" t="str">
        <x:v>Known varieties/types: Kufri Jyoti, Kufri Bahar, Kufri Chipsona, Kufri Pukhraj, Kufri Sindhuri, Baby potato grades</x:v>
      </x:c>
      <x:c r="G139" s="14" t="str">
        <x:v>Uttar Pradesh: Agra, Farrukhabad, Kannauj, Meerut; West Bengal: Hooghly, Bardhaman, Jalpaiguri; Bihar: Nalanda, Patna; Gujarat: Banaskantha, Sabarkantha; Punjab: Jalandhar, Hoshiarpur; Madhya Pradesh: Indore, Ujjain; Himachal/Uttarakhand seed-potato hills</x:v>
      </x:c>
      <x:c r="H139" s="31" t="str">
        <x:v>Gunny/jute bag, HDPE/PP woven sack, mesh bag, or plastic crate for graded lots</x:v>
      </x:c>
      <x:c r="I139" s="31" t="str">
        <x:v>₹/kg, ₹/quintal, ₹/bag, or ₹/crate</x:v>
      </x:c>
      <x:c r="J139" s="31" t="str">
        <x:v>Common bags are 25-50 kg; onion/potato often 40-50 kg bags; capture actual net weight</x:v>
      </x:c>
      <x:c r="K139" s="31" t="str">
        <x:v>Normalize to ₹/kg or ₹/quintal. If quoted per bag, subtract tare if needed and divide by net kg.</x:v>
      </x:c>
      <x:c r="L139" s="31" t="str">
        <x:v>₹/kg or ₹/quintal</x:v>
      </x:c>
    </x:row>
    <x:row r="140" ht="74" customHeight="1">
      <x:c r="A140" s="14" t="str">
        <x:v>P0139</x:v>
      </x:c>
      <x:c r="B140" s="14" t="str">
        <x:v>VEGETABLES</x:v>
      </x:c>
      <x:c r="C140" s="14" t="str">
        <x:v>Pumpkin</x:v>
      </x:c>
      <x:c r="D140" s="14" t="str">
        <x:v>कद्दू</x:v>
      </x:c>
      <x:c r="E140" s="14" t="str">
        <x:v>kaddu, pumpkin</x:v>
      </x:c>
      <x:c r="F140" s="14" t="str">
        <x:v>Known varieties/types: Pusa Vishwas, Arka Suryamukhi, Ambili, Chhappan Kaddu, red/yellow pumpkin types</x:v>
      </x:c>
      <x:c r="G140" s="14" t="str">
        <x:v>Uttar Pradesh: Lucknow, Kanpur, Agra; Bihar: Patna, Nalanda; West Bengal: Nadia, Hooghly; Odisha: Cuttack, Puri; Maharashtra: Pune, Nashik; Karnataka/Tamil Nadu vegetable belts</x:v>
      </x:c>
      <x:c r="H140" s="31" t="str">
        <x:v>Plastic crate, bamboo basket, gunny/HDPE sack, mesh bag, or loose lot</x:v>
      </x:c>
      <x:c r="I140" s="31" t="str">
        <x:v>₹/kg, ₹/crate, ₹/bag, ₹/piece, or lot rate</x:v>
      </x:c>
      <x:c r="J140" s="31" t="str">
        <x:v>Typical vegetable crates/bags are 10-30 kg; heavier sacks may be 40-50 kg</x:v>
      </x:c>
      <x:c r="K140" s="31" t="str">
        <x:v>Normalize to ₹/kg. If quoted per crate/bag, use actual net weight after tare. Keep grade/size/quality note with quote.</x:v>
      </x:c>
      <x:c r="L140" s="31" t="str">
        <x:v>₹/kg</x:v>
      </x:c>
    </x:row>
    <x:row r="141" ht="74" customHeight="1">
      <x:c r="A141" s="14" t="str">
        <x:v>P0140</x:v>
      </x:c>
      <x:c r="B141" s="14" t="str">
        <x:v>VEGETABLES</x:v>
      </x:c>
      <x:c r="C141" s="14" t="str">
        <x:v>Raw Turmeric</x:v>
      </x:c>
      <x:c r="D141" s="14" t="str">
        <x:v>कच्ची हल्दी</x:v>
      </x:c>
      <x:c r="E141" s="14" t="str">
        <x:v>kacchi haldi, fresh turmeric, raw turmeric</x:v>
      </x:c>
      <x:c r="F141" s="14" t="str">
        <x:v>Known varieties/types: Salem, Erode local, Alleppey, Rajendra Sonia, Pragati, Pratibha, Lakadong turmeric</x:v>
      </x:c>
      <x:c r="G141" s="14" t="str">
        <x:v>Telangana: Nizamabad, Jagtial; Maharashtra: Sangli, Hingoli, Nanded; Tamil Nadu: Erode, Salem; Odisha: Kandhamal; Meghalaya: West Jaintia Hills/Lakadong; Andhra/Karnataka pockets</x:v>
      </x:c>
      <x:c r="H141" s="31" t="str">
        <x:v>Gunny/jute bag, HDPE/PP woven sack, mesh bag, or plastic crate for graded lots</x:v>
      </x:c>
      <x:c r="I141" s="31" t="str">
        <x:v>₹/kg, ₹/quintal, ₹/bag, or ₹/crate</x:v>
      </x:c>
      <x:c r="J141" s="31" t="str">
        <x:v>Common bags are 25-50 kg; onion/potato often 40-50 kg bags; capture actual net weight</x:v>
      </x:c>
      <x:c r="K141" s="31" t="str">
        <x:v>Normalize to ₹/kg or ₹/quintal. If quoted per bag, subtract tare if needed and divide by net kg.</x:v>
      </x:c>
      <x:c r="L141" s="31" t="str">
        <x:v>₹/kg or ₹/quintal</x:v>
      </x:c>
    </x:row>
    <x:row r="142" ht="74" customHeight="1">
      <x:c r="A142" s="14" t="str">
        <x:v>P0141</x:v>
      </x:c>
      <x:c r="B142" s="14" t="str">
        <x:v>VEGETABLES</x:v>
      </x:c>
      <x:c r="C142" s="14" t="str">
        <x:v>Red Amaranthus</x:v>
      </x:c>
      <x:c r="D142" s="14" t="str">
        <x:v>लाल चौलाई</x:v>
      </x:c>
      <x:c r="E142" s="14" t="str">
        <x:v>laal chaulai, red amaranth</x:v>
      </x:c>
      <x:c r="F142" s="14" t="str">
        <x:v>Known varieties/types: CO-1, CO-2, red amaranth, green amaranth, local chaulai types</x:v>
      </x:c>
      <x:c r="G142" s="14" t="str">
        <x:v>Tamil Nadu, Kerala, Karnataka, Andhra/Telangana, West Bengal, Odisha, Maharashtra and Gujarat leafy-green belts; areas include Coimbatore, Thrissur, Kolar, Guntur, Nadia, Cuttack and Pune</x:v>
      </x:c>
      <x:c r="H142" s="31" t="str">
        <x:v>Plastic crate, bamboo basket, gunny/HDPE sack, mesh bag, or loose lot</x:v>
      </x:c>
      <x:c r="I142" s="31" t="str">
        <x:v>₹/kg, ₹/crate, ₹/bag, ₹/piece, or lot rate</x:v>
      </x:c>
      <x:c r="J142" s="31" t="str">
        <x:v>Typical vegetable crates/bags are 10-30 kg; heavier sacks may be 40-50 kg</x:v>
      </x:c>
      <x:c r="K142" s="31" t="str">
        <x:v>Normalize to ₹/kg. If quoted per crate/bag, use actual net weight after tare. Keep grade/size/quality note with quote.</x:v>
      </x:c>
      <x:c r="L142" s="31" t="str">
        <x:v>₹/kg</x:v>
      </x:c>
    </x:row>
    <x:row r="143" ht="74" customHeight="1">
      <x:c r="A143" s="14" t="str">
        <x:v>P0142</x:v>
      </x:c>
      <x:c r="B143" s="14" t="str">
        <x:v>VEGETABLES</x:v>
      </x:c>
      <x:c r="C143" s="14" t="str">
        <x:v>Radish</x:v>
      </x:c>
      <x:c r="D143" s="14" t="str">
        <x:v>मूली</x:v>
      </x:c>
      <x:c r="E143" s="14" t="str">
        <x:v>mooli, radish</x:v>
      </x:c>
      <x:c r="F143" s="14" t="str">
        <x:v>Known varieties/types: Pusa Chetki, Japanese White, Pusa Reshmi, local white/red radish types</x:v>
      </x:c>
      <x:c r="G143" s="14" t="str">
        <x:v>Haryana/Delhi/NCR: Sonipat, Karnal, Panipat; Uttar Pradesh: Meerut, Lucknow; Punjab: Ludhiana, Jalandhar; West Bengal/Bihar winter vegetable belts; Maharashtra and Karnataka peri-urban belts</x:v>
      </x:c>
      <x:c r="H143" s="31" t="str">
        <x:v>Plastic crate, gunny/HDPE bag, mesh bag, or loose basket depending on crop</x:v>
      </x:c>
      <x:c r="I143" s="31" t="str">
        <x:v>₹/kg, ₹/crate, ₹/bag, or bunch/count for small roots</x:v>
      </x:c>
      <x:c r="J143" s="31" t="str">
        <x:v>Usually 10-50 kg depending on root/tuber and distance; capture actual net weight</x:v>
      </x:c>
      <x:c r="K143" s="31" t="str">
        <x:v>Normalize to ₹/kg. For bag/crate quotes, ₹/kg = pack price ÷ net kg after tare.</x:v>
      </x:c>
      <x:c r="L143" s="31" t="str">
        <x:v>₹/kg</x:v>
      </x:c>
    </x:row>
    <x:row r="144" ht="74" customHeight="1">
      <x:c r="A144" s="14" t="str">
        <x:v>P0143</x:v>
      </x:c>
      <x:c r="B144" s="14" t="str">
        <x:v>VEGETABLES</x:v>
      </x:c>
      <x:c r="C144" s="14" t="str">
        <x:v>Ribbed Celery</x:v>
      </x:c>
      <x:c r="D144" s="14" t="str">
        <x:v>सेलेरी</x:v>
      </x:c>
      <x:c r="E144" s="14" t="str">
        <x:v>celery, ribbed celery, celery stalk</x:v>
      </x:c>
      <x:c r="F144" s="14" t="str">
        <x:v>Known varieties/types: ribbed celery, leaf celery, Pascal types</x:v>
      </x:c>
      <x:c r="G144" s="14" t="str">
        <x:v>Punjab/Haryana/Delhi NCR winter belts, Himachal/Uttarakhand cool belts, Maharashtra/Pune and Karnataka/Bengaluru protected farms</x:v>
      </x:c>
      <x:c r="H144" s="31" t="str">
        <x:v>Plastic crate, bamboo basket, gunny/HDPE sack, mesh bag, or loose lot</x:v>
      </x:c>
      <x:c r="I144" s="31" t="str">
        <x:v>₹/kg, ₹/crate, ₹/bag, ₹/piece, or lot rate</x:v>
      </x:c>
      <x:c r="J144" s="31" t="str">
        <x:v>Typical vegetable crates/bags are 10-30 kg; heavier sacks may be 40-50 kg</x:v>
      </x:c>
      <x:c r="K144" s="31" t="str">
        <x:v>Normalize to ₹/kg. If quoted per crate/bag, use actual net weight after tare. Keep grade/size/quality note with quote.</x:v>
      </x:c>
      <x:c r="L144" s="31" t="str">
        <x:v>₹/kg</x:v>
      </x:c>
    </x:row>
    <x:row r="145" ht="74" customHeight="1">
      <x:c r="A145" s="14" t="str">
        <x:v>P0144</x:v>
      </x:c>
      <x:c r="B145" s="14" t="str">
        <x:v>VEGETABLES</x:v>
      </x:c>
      <x:c r="C145" s="14" t="str">
        <x:v>Ridge Gourd</x:v>
      </x:c>
      <x:c r="D145" s="14" t="str">
        <x:v>तुरई / तोरई</x:v>
      </x:c>
      <x:c r="E145" s="14" t="str">
        <x:v>turai / torai, ridge gourd</x:v>
      </x:c>
      <x:c r="F145" s="14" t="str">
        <x:v>Known varieties/types: Pusa Bold, Pusa Mustard-25/26/30, Varuna, Rohini, RH-749, yellow sarson and brown rai types</x:v>
      </x:c>
      <x:c r="G145" s="14" t="str">
        <x:v>Rajasthan: Bharatpur, Alwar, Jaipur, Sikar, Ganganagar, Hanumangarh; Haryana: Hisar, Bhiwani, Sirsa, Mahendragarh; Uttar Pradesh: Agra, Mathura, Aligarh, Kanpur; Madhya Pradesh: Morena, Bhind, Gwalior; Gujarat: Banaskantha, Mehsana</x:v>
      </x:c>
      <x:c r="H145" s="31" t="str">
        <x:v>Plastic crate, bamboo basket, gunny/HDPE sack, mesh bag, or loose lot</x:v>
      </x:c>
      <x:c r="I145" s="31" t="str">
        <x:v>₹/kg, ₹/crate, ₹/bag, ₹/piece, or lot rate</x:v>
      </x:c>
      <x:c r="J145" s="31" t="str">
        <x:v>Typical vegetable crates/bags are 10-30 kg; heavier sacks may be 40-50 kg</x:v>
      </x:c>
      <x:c r="K145" s="31" t="str">
        <x:v>Normalize to ₹/kg. If quoted per crate/bag, use actual net weight after tare. Keep grade/size/quality note with quote.</x:v>
      </x:c>
      <x:c r="L145" s="31" t="str">
        <x:v>₹/kg</x:v>
      </x:c>
    </x:row>
    <x:row r="146" ht="74" customHeight="1">
      <x:c r="A146" s="14" t="str">
        <x:v>P0145</x:v>
      </x:c>
      <x:c r="B146" s="14" t="str">
        <x:v>VEGETABLES</x:v>
      </x:c>
      <x:c r="C146" s="14" t="str">
        <x:v>Round Chilli</x:v>
      </x:c>
      <x:c r="D146" s="14" t="str">
        <x:v>गोल मिर्च</x:v>
      </x:c>
      <x:c r="E146" s="14" t="str">
        <x:v>gol mirch, round chilli</x:v>
      </x:c>
      <x:c r="F146" s="14" t="str">
        <x:v>Known varieties/types: Pusa Jwala, Teja, Byadgi, Guntur Sannam, Kashmiri, Jwala, round chilli, fresh red chilli</x:v>
      </x:c>
      <x:c r="G146" s="14" t="str">
        <x:v>Andhra Pradesh: Guntur, Prakasam, Krishna; Telangana: Warangal, Khammam; Karnataka: Haveri, Dharwad; Maharashtra: Nagpur, Nandurbar; Rajasthan: Jodhpur/Mathania; Tamil Nadu: Ramanathapuram, Virudhunagar; Kashmir chilli pockets</x:v>
      </x:c>
      <x:c r="H146" s="31" t="str">
        <x:v>Plastic crate, bamboo basket, gunny/HDPE sack, mesh bag, or loose lot</x:v>
      </x:c>
      <x:c r="I146" s="31" t="str">
        <x:v>₹/kg, ₹/crate, ₹/bag, ₹/piece, or lot rate</x:v>
      </x:c>
      <x:c r="J146" s="31" t="str">
        <x:v>Typical vegetable crates/bags are 10-30 kg; heavier sacks may be 40-50 kg</x:v>
      </x:c>
      <x:c r="K146" s="31" t="str">
        <x:v>Normalize to ₹/kg. If quoted per crate/bag, use actual net weight after tare. Keep grade/size/quality note with quote.</x:v>
      </x:c>
      <x:c r="L146" s="31" t="str">
        <x:v>₹/kg</x:v>
      </x:c>
    </x:row>
    <x:row r="147" ht="74" customHeight="1">
      <x:c r="A147" s="14" t="str">
        <x:v>P0146</x:v>
      </x:c>
      <x:c r="B147" s="14" t="str">
        <x:v>VEGETABLES</x:v>
      </x:c>
      <x:c r="C147" s="14" t="str">
        <x:v>Safed Petha</x:v>
      </x:c>
      <x:c r="D147" s="14" t="str">
        <x:v>सफेद पेठा</x:v>
      </x:c>
      <x:c r="E147" s="14" t="str">
        <x:v>safed petha, ash gourd, winter melon</x:v>
      </x:c>
      <x:c r="F147" s="14" t="str">
        <x:v>Known varieties/types: CO-1, local petha/ash gourd types</x:v>
      </x:c>
      <x:c r="G147" s="14" t="str">
        <x:v>Uttar Pradesh/Bihar petha and vegetable belts, Karnataka/Tamil Nadu/Kerala warm belts, West Bengal/Odisha; known arrivals from Agra, Patna, Kolar, Coimbatore and Cuttack</x:v>
      </x:c>
      <x:c r="H147" s="31" t="str">
        <x:v>Plastic crate, bamboo basket, gunny/HDPE sack, mesh bag, or loose lot</x:v>
      </x:c>
      <x:c r="I147" s="31" t="str">
        <x:v>₹/kg, ₹/crate, ₹/bag, ₹/piece, or lot rate</x:v>
      </x:c>
      <x:c r="J147" s="31" t="str">
        <x:v>Typical vegetable crates/bags are 10-30 kg; heavier sacks may be 40-50 kg</x:v>
      </x:c>
      <x:c r="K147" s="31" t="str">
        <x:v>Normalize to ₹/kg. If quoted per crate/bag, use actual net weight after tare. Keep grade/size/quality note with quote.</x:v>
      </x:c>
      <x:c r="L147" s="31" t="str">
        <x:v>₹/kg</x:v>
      </x:c>
    </x:row>
    <x:row r="148" ht="74" customHeight="1">
      <x:c r="A148" s="14" t="str">
        <x:v>P0147</x:v>
      </x:c>
      <x:c r="B148" s="14" t="str">
        <x:v>VEGETABLES</x:v>
      </x:c>
      <x:c r="C148" s="14" t="str">
        <x:v>Sem</x:v>
      </x:c>
      <x:c r="D148" s="14" t="str">
        <x:v>सेम</x:v>
      </x:c>
      <x:c r="E148" s="14" t="str">
        <x:v>sem, broad beans, hyacinth bean</x:v>
      </x:c>
      <x:c r="F148" s="14" t="str">
        <x:v>Known varieties/types: local sem/papdi/bakla types; pole and bush types</x:v>
      </x:c>
      <x:c r="G148" s="14" t="str">
        <x:v>Gujarat: Surat/Navsari papdi belts; Maharashtra: Pune, Nashik; Karnataka: Bengaluru Rural/Kolar; Tamil Nadu/Kerala winter vegetable belts; UP/Haryana pockets</x:v>
      </x:c>
      <x:c r="H148" s="31" t="str">
        <x:v>Plastic crate, bamboo basket, gunny/HDPE sack, mesh bag, or loose lot</x:v>
      </x:c>
      <x:c r="I148" s="31" t="str">
        <x:v>₹/kg, ₹/crate, ₹/bag, ₹/piece, or lot rate</x:v>
      </x:c>
      <x:c r="J148" s="31" t="str">
        <x:v>Typical vegetable crates/bags are 10-30 kg; heavier sacks may be 40-50 kg</x:v>
      </x:c>
      <x:c r="K148" s="31" t="str">
        <x:v>Normalize to ₹/kg. If quoted per crate/bag, use actual net weight after tare. Keep grade/size/quality note with quote.</x:v>
      </x:c>
      <x:c r="L148" s="31" t="str">
        <x:v>₹/kg</x:v>
      </x:c>
    </x:row>
    <x:row r="149" ht="74" customHeight="1">
      <x:c r="A149" s="14" t="str">
        <x:v>P0148</x:v>
      </x:c>
      <x:c r="B149" s="14" t="str">
        <x:v>VEGETABLES</x:v>
      </x:c>
      <x:c r="C149" s="14" t="str">
        <x:v>Snake Gourd</x:v>
      </x:c>
      <x:c r="D149" s="14" t="str">
        <x:v>चिचिंडा / स्नेक गार्ड</x:v>
      </x:c>
      <x:c r="E149" s="14" t="str">
        <x:v>chichinda / snake gourd, snake gourd</x:v>
      </x:c>
      <x:c r="F149" s="14" t="str">
        <x:v>Known varieties/types: CO-1, PKM-1, local chichinda/padal types</x:v>
      </x:c>
      <x:c r="G149" s="14" t="str">
        <x:v>Kerala, Tamil Nadu, Karnataka, Andhra Pradesh, West Bengal and Odisha humid/warm belts; areas include Thrissur, Coimbatore, Kolar, Guntur, Nadia and Cuttack</x:v>
      </x:c>
      <x:c r="H149" s="31" t="str">
        <x:v>Plastic crate, bamboo basket, gunny/HDPE sack, mesh bag, or loose lot</x:v>
      </x:c>
      <x:c r="I149" s="31" t="str">
        <x:v>₹/kg, ₹/crate, ₹/bag, ₹/piece, or lot rate</x:v>
      </x:c>
      <x:c r="J149" s="31" t="str">
        <x:v>Typical vegetable crates/bags are 10-30 kg; heavier sacks may be 40-50 kg</x:v>
      </x:c>
      <x:c r="K149" s="31" t="str">
        <x:v>Normalize to ₹/kg. If quoted per crate/bag, use actual net weight after tare. Keep grade/size/quality note with quote.</x:v>
      </x:c>
      <x:c r="L149" s="31" t="str">
        <x:v>₹/kg</x:v>
      </x:c>
    </x:row>
    <x:row r="150" ht="74" customHeight="1">
      <x:c r="A150" s="14" t="str">
        <x:v>P0149</x:v>
      </x:c>
      <x:c r="B150" s="14" t="str">
        <x:v>VEGETABLES</x:v>
      </x:c>
      <x:c r="C150" s="14" t="str">
        <x:v>Snow Mountain Garlic</x:v>
      </x:c>
      <x:c r="D150" s="14" t="str">
        <x:v>स्नो माउंटेन लहसुन</x:v>
      </x:c>
      <x:c r="E150" s="14" t="str">
        <x:v>snow mountain lahsun, snow mountain garlic</x:v>
      </x:c>
      <x:c r="F150" s="14" t="str">
        <x:v>Known varieties/types: Yamuna Safed/G-1, G-282, Agrifound White, Bhima Purple, Snow Mountain garlic</x:v>
      </x:c>
      <x:c r="G150" s="14" t="str">
        <x:v>Madhya Pradesh: Mandsaur, Neemuch, Ratlam; Rajasthan: Kota, Baran, Jodhpur; Gujarat: Rajkot, Jamnagar; Uttar Pradesh/Maharashtra pockets; Snow Mountain garlic from high-altitude Jammu &amp; Kashmir/Himachal/Ladakh belts</x:v>
      </x:c>
      <x:c r="H150" s="31" t="str">
        <x:v>Gunny/jute bag, HDPE/PP woven sack, mesh bag, or plastic crate for graded lots</x:v>
      </x:c>
      <x:c r="I150" s="31" t="str">
        <x:v>₹/kg, ₹/quintal, ₹/bag, or ₹/crate</x:v>
      </x:c>
      <x:c r="J150" s="31" t="str">
        <x:v>Common bags are 25-50 kg; onion/potato often 40-50 kg bags; capture actual net weight</x:v>
      </x:c>
      <x:c r="K150" s="31" t="str">
        <x:v>Normalize to ₹/kg or ₹/quintal. If quoted per bag, subtract tare if needed and divide by net kg.</x:v>
      </x:c>
      <x:c r="L150" s="31" t="str">
        <x:v>₹/kg or ₹/quintal</x:v>
      </x:c>
    </x:row>
    <x:row r="151" ht="74" customHeight="1">
      <x:c r="A151" s="14" t="str">
        <x:v>P0150</x:v>
      </x:c>
      <x:c r="B151" s="14" t="str">
        <x:v>VEGETABLES</x:v>
      </x:c>
      <x:c r="C151" s="14" t="str">
        <x:v>Spinach</x:v>
      </x:c>
      <x:c r="D151" s="14" t="str">
        <x:v>पालक</x:v>
      </x:c>
      <x:c r="E151" s="14" t="str">
        <x:v>palak, spinach</x:v>
      </x:c>
      <x:c r="F151" s="14" t="str">
        <x:v>Known varieties/types: Pusa Palak, All Green, Jobner Green, local palak types</x:v>
      </x:c>
      <x:c r="G151" s="14" t="str">
        <x:v>Haryana/Delhi NCR: Sonipat, Karnal, Panipat; Uttar Pradesh: Meerut, Lucknow; Punjab: Ludhiana; West Bengal/Bihar winter belts; Maharashtra: Pune/Nashik; Karnataka: Kolar/Bengaluru Rural</x:v>
      </x:c>
      <x:c r="H151" s="31" t="str">
        <x:v>Bunches/bundles in plastic crate, bamboo basket, sack, or moist-lined carton</x:v>
      </x:c>
      <x:c r="I151" s="31" t="str">
        <x:v>₹/bunch, ₹/bundle, ₹/kg, or ₹/crate</x:v>
      </x:c>
      <x:c r="J151" s="31" t="str">
        <x:v>Bundle size varies heavily; capture bunch count and sample bundle weight</x:v>
      </x:c>
      <x:c r="K151" s="31" t="str">
        <x:v>Value by bunch if market quote is bunch-based. For analytics, normalize to ₹/kg only after sample weighing: ₹/kg = crate/bundle lot price ÷ net kg.</x:v>
      </x:c>
      <x:c r="L151" s="31" t="str">
        <x:v>₹/bunch and ₹/kg</x:v>
      </x:c>
    </x:row>
    <x:row r="152" ht="74" customHeight="1">
      <x:c r="A152" s="14" t="str">
        <x:v>P0151</x:v>
      </x:c>
      <x:c r="B152" s="14" t="str">
        <x:v>VEGETABLES</x:v>
      </x:c>
      <x:c r="C152" s="14" t="str">
        <x:v>Sponge Gourd</x:v>
      </x:c>
      <x:c r="D152" s="14" t="str">
        <x:v>घीया तुरई / नेनुआ</x:v>
      </x:c>
      <x:c r="E152" s="14" t="str">
        <x:v>ghiya turai / nenua, sponge gourd</x:v>
      </x:c>
      <x:c r="F152" s="14" t="str">
        <x:v>Known varieties/types: Pusa Bold, Pusa Mustard-25/26/30, Varuna, Rohini, RH-749, yellow sarson and brown rai types</x:v>
      </x:c>
      <x:c r="G152" s="14" t="str">
        <x:v>Rajasthan: Bharatpur, Alwar, Jaipur, Sikar, Ganganagar, Hanumangarh; Haryana: Hisar, Bhiwani, Sirsa, Mahendragarh; Uttar Pradesh: Agra, Mathura, Aligarh, Kanpur; Madhya Pradesh: Morena, Bhind, Gwalior; Gujarat: Banaskantha, Mehsana</x:v>
      </x:c>
      <x:c r="H152" s="31" t="str">
        <x:v>Plastic crate, bamboo basket, gunny/HDPE sack, mesh bag, or loose lot</x:v>
      </x:c>
      <x:c r="I152" s="31" t="str">
        <x:v>₹/kg, ₹/crate, ₹/bag, ₹/piece, or lot rate</x:v>
      </x:c>
      <x:c r="J152" s="31" t="str">
        <x:v>Typical vegetable crates/bags are 10-30 kg; heavier sacks may be 40-50 kg</x:v>
      </x:c>
      <x:c r="K152" s="31" t="str">
        <x:v>Normalize to ₹/kg. If quoted per crate/bag, use actual net weight after tare. Keep grade/size/quality note with quote.</x:v>
      </x:c>
      <x:c r="L152" s="31" t="str">
        <x:v>₹/kg</x:v>
      </x:c>
    </x:row>
    <x:row r="153" ht="74" customHeight="1">
      <x:c r="A153" s="14" t="str">
        <x:v>P0152</x:v>
      </x:c>
      <x:c r="B153" s="14" t="str">
        <x:v>VEGETABLES</x:v>
      </x:c>
      <x:c r="C153" s="14" t="str">
        <x:v>Spring Onion</x:v>
      </x:c>
      <x:c r="D153" s="14" t="str">
        <x:v>हरा प्याज</x:v>
      </x:c>
      <x:c r="E153" s="14" t="str">
        <x:v>hara pyaaz, spring onion, green onion</x:v>
      </x:c>
      <x:c r="F153" s="14" t="str">
        <x:v>Known varieties/types: N-53, Agrifound Light Red, Bhima Super, Bhima Shakti, Pusa Red, White onion, Red onion, Pearl onion</x:v>
      </x:c>
      <x:c r="G153" s="14" t="str">
        <x:v>Maharashtra: Nashik/Lasalgaon, Ahmednagar, Pune, Solapur; Karnataka: Chitradurga, Vijayapura, Dharwad; Gujarat: Bhavnagar, Rajkot; Madhya Pradesh: Mandsaur, Neemuch, Indore; Rajasthan: Alwar, Sikar; Andhra/Telangana and Tamil Nadu pockets</x:v>
      </x:c>
      <x:c r="H153" s="31" t="str">
        <x:v>Gunny/jute bag, HDPE/PP woven sack, mesh bag, or plastic crate for graded lots</x:v>
      </x:c>
      <x:c r="I153" s="31" t="str">
        <x:v>₹/kg, ₹/quintal, ₹/bag, or ₹/crate</x:v>
      </x:c>
      <x:c r="J153" s="31" t="str">
        <x:v>Common bags are 25-50 kg; onion/potato often 40-50 kg bags; capture actual net weight</x:v>
      </x:c>
      <x:c r="K153" s="31" t="str">
        <x:v>Normalize to ₹/kg or ₹/quintal. If quoted per bag, subtract tare if needed and divide by net kg.</x:v>
      </x:c>
      <x:c r="L153" s="31" t="str">
        <x:v>₹/kg or ₹/quintal</x:v>
      </x:c>
    </x:row>
    <x:row r="154" ht="74" customHeight="1">
      <x:c r="A154" s="14" t="str">
        <x:v>P0153</x:v>
      </x:c>
      <x:c r="B154" s="14" t="str">
        <x:v>VEGETABLES</x:v>
      </x:c>
      <x:c r="C154" s="14" t="str">
        <x:v>Sugar Snap Peas</x:v>
      </x:c>
      <x:c r="D154" s="14" t="str">
        <x:v>शुगर स्नैप मटर</x:v>
      </x:c>
      <x:c r="E154" s="14" t="str">
        <x:v>sugar snap matar, sugar snap peas</x:v>
      </x:c>
      <x:c r="F154" s="14" t="str">
        <x:v>Known varieties/types: Arkel, Bonneville, Azad P-1, Pant Uphar, snow peas and sugar snap peas</x:v>
      </x:c>
      <x:c r="G154" s="14" t="str">
        <x:v>Uttar Pradesh: Meerut, Saharanpur, Agra; Madhya Pradesh: Jabalpur, Sagar; Punjab/Haryana winter belts; Himachal/Uttarakhand hill peas; Karnataka/Tamil Nadu cool belts</x:v>
      </x:c>
      <x:c r="H154" s="31" t="str">
        <x:v>Plastic crate, bamboo basket, gunny/HDPE sack, mesh bag, or loose lot</x:v>
      </x:c>
      <x:c r="I154" s="31" t="str">
        <x:v>₹/kg, ₹/crate, ₹/bag, ₹/piece, or lot rate</x:v>
      </x:c>
      <x:c r="J154" s="31" t="str">
        <x:v>Typical vegetable crates/bags are 10-30 kg; heavier sacks may be 40-50 kg</x:v>
      </x:c>
      <x:c r="K154" s="31" t="str">
        <x:v>Normalize to ₹/kg. If quoted per crate/bag, use actual net weight after tare. Keep grade/size/quality note with quote.</x:v>
      </x:c>
      <x:c r="L154" s="31" t="str">
        <x:v>₹/kg</x:v>
      </x:c>
    </x:row>
    <x:row r="155" ht="74" customHeight="1">
      <x:c r="A155" s="14" t="str">
        <x:v>P0154</x:v>
      </x:c>
      <x:c r="B155" s="14" t="str">
        <x:v>VEGETABLES</x:v>
      </x:c>
      <x:c r="C155" s="14" t="str">
        <x:v>Sweet Corn</x:v>
      </x:c>
      <x:c r="D155" s="14" t="str">
        <x:v>स्वीट कॉर्न / मीठा मक्का</x:v>
      </x:c>
      <x:c r="E155" s="14" t="str">
        <x:v>sweet corn / meetha makka, sweet corn</x:v>
      </x:c>
      <x:c r="F155" s="14" t="str">
        <x:v>Known varieties/types: HQPM hybrids, 900M Gold-type hybrids, sweet corn, baby corn, pop corn, dent/flint maize</x:v>
      </x:c>
      <x:c r="G155" s="14" t="str">
        <x:v>Karnataka: Davanagere, Haveri, Belagavi; Bihar: Purnea, Katihar, Begusarai, Khagaria; Madhya Pradesh: Chhindwara, Seoni, Mandla; Rajasthan: Bhilwara, Banswara, Udaipur; Uttar Pradesh: Bahraich, Hardoi, Gonda; Telangana/Andhra: Karimnagar, Warangal, Guntur, Krishna</x:v>
      </x:c>
      <x:c r="H155" s="31" t="str">
        <x:v>Plastic crate, sack, carton, or loose count lot</x:v>
      </x:c>
      <x:c r="I155" s="31" t="str">
        <x:v>₹/kg, ₹/piece, ₹/dozen, ₹/crate, or ₹/bag</x:v>
      </x:c>
      <x:c r="J155" s="31" t="str">
        <x:v>Count and net weight vary; capture both pieces and kg when possible</x:v>
      </x:c>
      <x:c r="K155" s="31" t="str">
        <x:v>If count-based, value by piece/dozen. If weight-based, normalize to ₹/kg. For crate/bag, divide price by net kg.</x:v>
      </x:c>
      <x:c r="L155" s="31" t="str">
        <x:v>₹/kg or ₹/piece</x:v>
      </x:c>
    </x:row>
    <x:row r="156" ht="74" customHeight="1">
      <x:c r="A156" s="14" t="str">
        <x:v>P0155</x:v>
      </x:c>
      <x:c r="B156" s="14" t="str">
        <x:v>VEGETABLES</x:v>
      </x:c>
      <x:c r="C156" s="14" t="str">
        <x:v>Sweet Potato</x:v>
      </x:c>
      <x:c r="D156" s="14" t="str">
        <x:v>शकरकंद</x:v>
      </x:c>
      <x:c r="E156" s="14" t="str">
        <x:v>shakarkand, sweet potato</x:v>
      </x:c>
      <x:c r="F156" s="14" t="str">
        <x:v>Known varieties/types: Kufri Jyoti, Kufri Bahar, Kufri Chipsona, Kufri Pukhraj, Kufri Sindhuri, Baby potato grades</x:v>
      </x:c>
      <x:c r="G156" s="14" t="str">
        <x:v>Uttar Pradesh: Agra, Farrukhabad, Kannauj, Meerut; West Bengal: Hooghly, Bardhaman, Jalpaiguri; Bihar: Nalanda, Patna; Gujarat: Banaskantha, Sabarkantha; Punjab: Jalandhar, Hoshiarpur; Madhya Pradesh: Indore, Ujjain; Himachal/Uttarakhand seed-potato hills</x:v>
      </x:c>
      <x:c r="H156" s="31" t="str">
        <x:v>Gunny/jute bag, HDPE/PP woven sack, mesh bag, or plastic crate for graded lots</x:v>
      </x:c>
      <x:c r="I156" s="31" t="str">
        <x:v>₹/kg, ₹/quintal, ₹/bag, or ₹/crate</x:v>
      </x:c>
      <x:c r="J156" s="31" t="str">
        <x:v>Common bags are 25-50 kg; onion/potato often 40-50 kg bags; capture actual net weight</x:v>
      </x:c>
      <x:c r="K156" s="31" t="str">
        <x:v>Normalize to ₹/kg or ₹/quintal. If quoted per bag, subtract tare if needed and divide by net kg.</x:v>
      </x:c>
      <x:c r="L156" s="31" t="str">
        <x:v>₹/kg or ₹/quintal</x:v>
      </x:c>
    </x:row>
    <x:row r="157" ht="74" customHeight="1">
      <x:c r="A157" s="14" t="str">
        <x:v>P0156</x:v>
      </x:c>
      <x:c r="B157" s="14" t="str">
        <x:v>VEGETABLES</x:v>
      </x:c>
      <x:c r="C157" s="14" t="str">
        <x:v>Tapioca</x:v>
      </x:c>
      <x:c r="D157" s="14" t="str">
        <x:v>टैपिओका / कसावा</x:v>
      </x:c>
      <x:c r="E157" s="14" t="str">
        <x:v>tapioca / cassava, tapioca, cassava</x:v>
      </x:c>
      <x:c r="F157" s="14" t="str">
        <x:v>Known varieties/types: Sree Visakham, Sree Sahya, H-226, M-4, local cassava types</x:v>
      </x:c>
      <x:c r="G157" s="14" t="str">
        <x:v>Tamil Nadu: Salem, Namakkal, Erode; Kerala: Thiruvananthapuram, Kollam, Kottayam; Andhra Pradesh: East Godavari, Visakhapatnam; Odisha/Karnataka pockets</x:v>
      </x:c>
      <x:c r="H157" s="31" t="str">
        <x:v>Plastic crate, gunny/HDPE bag, mesh bag, or loose basket depending on crop</x:v>
      </x:c>
      <x:c r="I157" s="31" t="str">
        <x:v>₹/kg, ₹/crate, ₹/bag, or bunch/count for small roots</x:v>
      </x:c>
      <x:c r="J157" s="31" t="str">
        <x:v>Usually 10-50 kg depending on root/tuber and distance; capture actual net weight</x:v>
      </x:c>
      <x:c r="K157" s="31" t="str">
        <x:v>Normalize to ₹/kg. For bag/crate quotes, ₹/kg = pack price ÷ net kg after tare.</x:v>
      </x:c>
      <x:c r="L157" s="31" t="str">
        <x:v>₹/kg</x:v>
      </x:c>
    </x:row>
    <x:row r="158" ht="74" customHeight="1">
      <x:c r="A158" s="14" t="str">
        <x:v>P0157</x:v>
      </x:c>
      <x:c r="B158" s="14" t="str">
        <x:v>VEGETABLES</x:v>
      </x:c>
      <x:c r="C158" s="14" t="str">
        <x:v>Tinda</x:v>
      </x:c>
      <x:c r="D158" s="14" t="str">
        <x:v>टिंडा</x:v>
      </x:c>
      <x:c r="E158" s="14" t="str">
        <x:v>tinda, apple gourd, round gourd</x:v>
      </x:c>
      <x:c r="F158" s="14" t="str">
        <x:v>Known varieties/types: Royal Delicious, Red Delicious, Golden Delicious, Ambri, Gala, Fuji, Granny Smith, Red Chief, Spur types</x:v>
      </x:c>
      <x:c r="G158" s="14" t="str">
        <x:v>Jammu &amp; Kashmir: Shopian, Anantnag, Pulwama, Kulgam, Baramulla; Himachal Pradesh: Kinnaur, Shimla, Kullu, Mandi; Uttarakhand: Nainital, Almora; Arunachal/Sikkim hill pockets</x:v>
      </x:c>
      <x:c r="H158" s="31" t="str">
        <x:v>Plastic crate, bamboo basket, gunny/HDPE sack, mesh bag, or loose lot</x:v>
      </x:c>
      <x:c r="I158" s="31" t="str">
        <x:v>₹/kg, ₹/crate, ₹/bag, ₹/piece, or lot rate</x:v>
      </x:c>
      <x:c r="J158" s="31" t="str">
        <x:v>Typical vegetable crates/bags are 10-30 kg; heavier sacks may be 40-50 kg</x:v>
      </x:c>
      <x:c r="K158" s="31" t="str">
        <x:v>Normalize to ₹/kg. If quoted per crate/bag, use actual net weight after tare. Keep grade/size/quality note with quote.</x:v>
      </x:c>
      <x:c r="L158" s="31" t="str">
        <x:v>₹/kg</x:v>
      </x:c>
    </x:row>
    <x:row r="159" ht="74" customHeight="1">
      <x:c r="A159" s="14" t="str">
        <x:v>P0158</x:v>
      </x:c>
      <x:c r="B159" s="14" t="str">
        <x:v>VEGETABLES</x:v>
      </x:c>
      <x:c r="C159" s="14" t="str">
        <x:v>Tomato</x:v>
      </x:c>
      <x:c r="D159" s="14" t="str">
        <x:v>टमाटर</x:v>
      </x:c>
      <x:c r="E159" s="14" t="str">
        <x:v>tamatar, tomato</x:v>
      </x:c>
      <x:c r="F159" s="14" t="str">
        <x:v>Known varieties/types: Pusa Ruby, Arka Rakshak, Arka Vikas, Abhinav, Himsona, cherry tomato hybrids, green tomato types</x:v>
      </x:c>
      <x:c r="G159" s="14" t="str">
        <x:v>Karnataka: Kolar, Chikkaballapur, Bengaluru Rural; Maharashtra: Nashik, Pune, Ahmednagar; Andhra Pradesh: Chittoor, Anantapur; Himachal Pradesh: Solan, Sirmaur; Tamil Nadu: Krishnagiri, Dharmapuri; UP/Haryana/NCR belts</x:v>
      </x:c>
      <x:c r="H159" s="31" t="str">
        <x:v>Plastic crate, bamboo basket, gunny/HDPE sack, mesh bag, or loose lot</x:v>
      </x:c>
      <x:c r="I159" s="31" t="str">
        <x:v>₹/kg, ₹/crate, ₹/bag, ₹/piece, or lot rate</x:v>
      </x:c>
      <x:c r="J159" s="31" t="str">
        <x:v>Typical vegetable crates/bags are 10-30 kg; heavier sacks may be 40-50 kg</x:v>
      </x:c>
      <x:c r="K159" s="31" t="str">
        <x:v>Normalize to ₹/kg. If quoted per crate/bag, use actual net weight after tare. Keep grade/size/quality note with quote.</x:v>
      </x:c>
      <x:c r="L159" s="31" t="str">
        <x:v>₹/kg</x:v>
      </x:c>
    </x:row>
    <x:row r="160" ht="74" customHeight="1">
      <x:c r="A160" s="14" t="str">
        <x:v>P0159</x:v>
      </x:c>
      <x:c r="B160" s="14" t="str">
        <x:v>VEGETABLES</x:v>
      </x:c>
      <x:c r="C160" s="14" t="str">
        <x:v>Winged Bean</x:v>
      </x:c>
      <x:c r="D160" s="14" t="str">
        <x:v>विंग्ड बीन</x:v>
      </x:c>
      <x:c r="E160" s="14" t="str">
        <x:v>winged bean</x:v>
      </x:c>
      <x:c r="F160" s="14" t="str">
        <x:v>Known varieties/types: local winged bean/char kona sem types; cultivar names rare in mandi trade</x:v>
      </x:c>
      <x:c r="G160" s="14" t="str">
        <x:v>North East, Kerala, Karnataka, Tamil Nadu and Odisha humid garden/vegetable belts; limited mandi arrivals near Assam, Meghalaya, Kerala and coastal Karnataka</x:v>
      </x:c>
      <x:c r="H160" s="31" t="str">
        <x:v>Plastic crate, bamboo basket, gunny/HDPE sack, mesh bag, or loose lot</x:v>
      </x:c>
      <x:c r="I160" s="31" t="str">
        <x:v>₹/kg, ₹/crate, ₹/bag, ₹/piece, or lot rate</x:v>
      </x:c>
      <x:c r="J160" s="31" t="str">
        <x:v>Typical vegetable crates/bags are 10-30 kg; heavier sacks may be 40-50 kg</x:v>
      </x:c>
      <x:c r="K160" s="31" t="str">
        <x:v>Normalize to ₹/kg. If quoted per crate/bag, use actual net weight after tare. Keep grade/size/quality note with quote.</x:v>
      </x:c>
      <x:c r="L160" s="31" t="str">
        <x:v>₹/kg</x:v>
      </x:c>
    </x:row>
    <x:row r="161" ht="74" customHeight="1">
      <x:c r="A161" s="14" t="str">
        <x:v>P0160</x:v>
      </x:c>
      <x:c r="B161" s="14" t="str">
        <x:v>SPICES</x:v>
      </x:c>
      <x:c r="C161" s="14" t="str">
        <x:v>Ajwain</x:v>
      </x:c>
      <x:c r="D161" s="14" t="str">
        <x:v>अजवाइन</x:v>
      </x:c>
      <x:c r="E161" s="14" t="str">
        <x:v>ajwain, carom seed</x:v>
      </x:c>
      <x:c r="F161" s="14" t="str">
        <x:v>Known varieties/types: AA-1, Lam Selection, local ajwain types</x:v>
      </x:c>
      <x:c r="G161" s="14" t="str">
        <x:v>Rajasthan: Chittorgarh, Pratapgarh, Kota; Gujarat: Mehsana, Banaskantha; Madhya Pradesh: Mandsaur, Neemuch; seed-spice arrivals via Unjha/Neemuch mandis</x:v>
      </x:c>
      <x:c r="H161" s="31" t="str">
        <x:v>Jute/gunny bag, HDPE sack, carton, or small bale for high-value spices</x:v>
      </x:c>
      <x:c r="I161" s="31" t="str">
        <x:v>₹/kg, ₹/quintal, or ₹/bag</x:v>
      </x:c>
      <x:c r="J161" s="31" t="str">
        <x:v>Typical wholesale sacks 25-50 kg; premium spices may be 5-10 kg cartons</x:v>
      </x:c>
      <x:c r="K161" s="31" t="str">
        <x:v>Normalize to ₹/kg for high-value spices and ₹/quintal for bulk spice seed. If quoted per bag, divide by net kg.</x:v>
      </x:c>
      <x:c r="L161" s="31" t="str">
        <x:v>₹/kg</x:v>
      </x:c>
    </x:row>
    <x:row r="162" ht="74" customHeight="1">
      <x:c r="A162" s="14" t="str">
        <x:v>P0161</x:v>
      </x:c>
      <x:c r="B162" s="14" t="str">
        <x:v>SPICES</x:v>
      </x:c>
      <x:c r="C162" s="14" t="str">
        <x:v>Asafoetida</x:v>
      </x:c>
      <x:c r="D162" s="14" t="str">
        <x:v>हींग</x:v>
      </x:c>
      <x:c r="E162" s="14" t="str">
        <x:v>hing, asafoetida</x:v>
      </x:c>
      <x:c r="F162" s="14" t="str">
        <x:v>Known varieties/types: mostly imported resin from Ferula species; Indian cultivation is emerging, no mainstream mandi cultivar yet</x:v>
      </x:c>
      <x:c r="G162" s="14" t="str">
        <x:v>Mostly imported resin processed in India; domestic Ferula cultivation trials in Himachal Pradesh, Ladakh, Jammu &amp; Kashmir and high-altitude dry belts around Lahaul-Spiti, Kargil and Kashmir</x:v>
      </x:c>
      <x:c r="H162" s="31" t="str">
        <x:v>Jute/gunny bag, HDPE sack, carton, or small bale for high-value spices</x:v>
      </x:c>
      <x:c r="I162" s="31" t="str">
        <x:v>₹/kg, ₹/quintal, or ₹/bag</x:v>
      </x:c>
      <x:c r="J162" s="31" t="str">
        <x:v>Typical wholesale sacks 25-50 kg; premium spices may be 5-10 kg cartons</x:v>
      </x:c>
      <x:c r="K162" s="31" t="str">
        <x:v>Normalize to ₹/kg for high-value spices and ₹/quintal for bulk spice seed. If quoted per bag, divide by net kg.</x:v>
      </x:c>
      <x:c r="L162" s="31" t="str">
        <x:v>₹/kg</x:v>
      </x:c>
    </x:row>
    <x:row r="163" ht="74" customHeight="1">
      <x:c r="A163" s="14" t="str">
        <x:v>P0162</x:v>
      </x:c>
      <x:c r="B163" s="14" t="str">
        <x:v>SPICES</x:v>
      </x:c>
      <x:c r="C163" s="14" t="str">
        <x:v>Black Pepper Whole</x:v>
      </x:c>
      <x:c r="D163" s="14" t="str">
        <x:v>काली मिर्च</x:v>
      </x:c>
      <x:c r="E163" s="14" t="str">
        <x:v>kali mirch, black pepper whole</x:v>
      </x:c>
      <x:c r="F163" s="14" t="str">
        <x:v>Known varieties/types: Karimunda, Panniyur-1 to Panniyur series, Thevam, Subhakara, Sreekara</x:v>
      </x:c>
      <x:c r="G163" s="14" t="str">
        <x:v>Kerala: Idukki, Wayanad, Kozhikode; Karnataka: Kodagu, Chikkamagaluru, Hassan; Tamil Nadu: Nilgiris; North East and Andaman pepper pockets</x:v>
      </x:c>
      <x:c r="H163" s="31" t="str">
        <x:v>Jute/gunny bag, HDPE sack, carton, or small bale for high-value spices</x:v>
      </x:c>
      <x:c r="I163" s="31" t="str">
        <x:v>₹/kg, ₹/quintal, or ₹/bag</x:v>
      </x:c>
      <x:c r="J163" s="31" t="str">
        <x:v>Typical wholesale sacks 25-50 kg; premium spices may be 5-10 kg cartons</x:v>
      </x:c>
      <x:c r="K163" s="31" t="str">
        <x:v>Normalize to ₹/kg for high-value spices and ₹/quintal for bulk spice seed. If quoted per bag, divide by net kg.</x:v>
      </x:c>
      <x:c r="L163" s="31" t="str">
        <x:v>₹/kg</x:v>
      </x:c>
    </x:row>
    <x:row r="164" ht="74" customHeight="1">
      <x:c r="A164" s="14" t="str">
        <x:v>P0163</x:v>
      </x:c>
      <x:c r="B164" s="14" t="str">
        <x:v>SPICES</x:v>
      </x:c>
      <x:c r="C164" s="14" t="str">
        <x:v>Cardamoms Whole</x:v>
      </x:c>
      <x:c r="D164" s="14" t="str">
        <x:v>इलायची</x:v>
      </x:c>
      <x:c r="E164" s="14" t="str">
        <x:v>elaichi, green cardamom, cardamom</x:v>
      </x:c>
      <x:c r="F164" s="14" t="str">
        <x:v>Known varieties/types: Malabar, Mysore, Vazhukka, Njallani, Green Gold, ICRI selections</x:v>
      </x:c>
      <x:c r="G164" s="14" t="str">
        <x:v>Kerala: Idukki/Cardamom Hills; Karnataka: Kodagu, Chikkamagaluru; Tamil Nadu: Nilgiris, Dindigul; plantation belts in Western Ghats</x:v>
      </x:c>
      <x:c r="H164" s="31" t="str">
        <x:v>Jute/gunny bag, HDPE sack, carton, or small bale for high-value spices</x:v>
      </x:c>
      <x:c r="I164" s="31" t="str">
        <x:v>₹/kg, ₹/quintal, or ₹/bag</x:v>
      </x:c>
      <x:c r="J164" s="31" t="str">
        <x:v>Typical wholesale sacks 25-50 kg; premium spices may be 5-10 kg cartons</x:v>
      </x:c>
      <x:c r="K164" s="31" t="str">
        <x:v>Normalize to ₹/kg for high-value spices and ₹/quintal for bulk spice seed. If quoted per bag, divide by net kg.</x:v>
      </x:c>
      <x:c r="L164" s="31" t="str">
        <x:v>₹/kg</x:v>
      </x:c>
    </x:row>
    <x:row r="165" ht="74" customHeight="1">
      <x:c r="A165" s="14" t="str">
        <x:v>P0164</x:v>
      </x:c>
      <x:c r="B165" s="14" t="str">
        <x:v>SPICES</x:v>
      </x:c>
      <x:c r="C165" s="14" t="str">
        <x:v>Cloves Whole</x:v>
      </x:c>
      <x:c r="D165" s="14" t="str">
        <x:v>लौंग</x:v>
      </x:c>
      <x:c r="E165" s="14" t="str">
        <x:v>laung, cloves</x:v>
      </x:c>
      <x:c r="F165" s="14" t="str">
        <x:v>Known varieties/types: local clove selections from Kerala/Tamil Nadu/Andaman; cultivar names not common in trade</x:v>
      </x:c>
      <x:c r="G165" s="14" t="str">
        <x:v>Kerala: Idukki, Wayanad; Tamil Nadu: Nilgiris, Kanyakumari; Karnataka: Kodagu; Andaman &amp; Nicobar spice gardens</x:v>
      </x:c>
      <x:c r="H165" s="31" t="str">
        <x:v>Jute/gunny bag, HDPE sack, carton, or small bale for high-value spices</x:v>
      </x:c>
      <x:c r="I165" s="31" t="str">
        <x:v>₹/kg, ₹/quintal, or ₹/bag</x:v>
      </x:c>
      <x:c r="J165" s="31" t="str">
        <x:v>Typical wholesale sacks 25-50 kg; premium spices may be 5-10 kg cartons</x:v>
      </x:c>
      <x:c r="K165" s="31" t="str">
        <x:v>Normalize to ₹/kg for high-value spices and ₹/quintal for bulk spice seed. If quoted per bag, divide by net kg.</x:v>
      </x:c>
      <x:c r="L165" s="31" t="str">
        <x:v>₹/kg</x:v>
      </x:c>
    </x:row>
    <x:row r="166" ht="74" customHeight="1">
      <x:c r="A166" s="14" t="str">
        <x:v>P0165</x:v>
      </x:c>
      <x:c r="B166" s="14" t="str">
        <x:v>SPICES</x:v>
      </x:c>
      <x:c r="C166" s="14" t="str">
        <x:v>Coriander Whole</x:v>
      </x:c>
      <x:c r="D166" s="14" t="str">
        <x:v>धनिया साबुत</x:v>
      </x:c>
      <x:c r="E166" s="14" t="str">
        <x:v>dhaniya sabut, coriander seed</x:v>
      </x:c>
      <x:c r="F166" s="14" t="str">
        <x:v>Known varieties/types: CO-1/2, Gujarat Coriander, RCr series; leaf coriander and seed coriander types</x:v>
      </x:c>
      <x:c r="G166" s="14" t="str">
        <x:v>Rajasthan: Kota, Jhalawar, Baran; Gujarat: Banaskantha, Mehsana; Madhya Pradesh: Mandsaur, Neemuch; fresh leaf belts around Pune, Nashik, Delhi NCR, Bengaluru and Hyderabad</x:v>
      </x:c>
      <x:c r="H166" s="31" t="str">
        <x:v>Jute/gunny bag, HDPE sack, carton, or small bale for high-value spices</x:v>
      </x:c>
      <x:c r="I166" s="31" t="str">
        <x:v>₹/kg, ₹/quintal, or ₹/bag</x:v>
      </x:c>
      <x:c r="J166" s="31" t="str">
        <x:v>Typical wholesale sacks 25-50 kg; premium spices may be 5-10 kg cartons</x:v>
      </x:c>
      <x:c r="K166" s="31" t="str">
        <x:v>Normalize to ₹/kg for high-value spices and ₹/quintal for bulk spice seed. If quoted per bag, divide by net kg.</x:v>
      </x:c>
      <x:c r="L166" s="31" t="str">
        <x:v>₹/kg</x:v>
      </x:c>
    </x:row>
    <x:row r="167" ht="74" customHeight="1">
      <x:c r="A167" s="14" t="str">
        <x:v>P0166</x:v>
      </x:c>
      <x:c r="B167" s="14" t="str">
        <x:v>SPICES</x:v>
      </x:c>
      <x:c r="C167" s="14" t="str">
        <x:v>Cumin</x:v>
      </x:c>
      <x:c r="D167" s="14" t="str">
        <x:v>जीरा</x:v>
      </x:c>
      <x:c r="E167" s="14" t="str">
        <x:v>jeera, cumin seed</x:v>
      </x:c>
      <x:c r="F167" s="14" t="str">
        <x:v>Known varieties/types: GC-4, RZ-19, RZ-209, Gujarat/Rajasthan jeera types</x:v>
      </x:c>
      <x:c r="G167" s="14" t="str">
        <x:v>Gujarat: Banaskantha, Patan, Mehsana, Kutch; Rajasthan: Jodhpur, Jalore, Barmer, Nagaur; major arrivals in Unjha and Rajasthan mandis</x:v>
      </x:c>
      <x:c r="H167" s="31" t="str">
        <x:v>Jute/gunny bag, HDPE sack, carton, or small bale for high-value spices</x:v>
      </x:c>
      <x:c r="I167" s="31" t="str">
        <x:v>₹/kg, ₹/quintal, or ₹/bag</x:v>
      </x:c>
      <x:c r="J167" s="31" t="str">
        <x:v>Typical wholesale sacks 25-50 kg; premium spices may be 5-10 kg cartons</x:v>
      </x:c>
      <x:c r="K167" s="31" t="str">
        <x:v>Normalize to ₹/kg for high-value spices and ₹/quintal for bulk spice seed. If quoted per bag, divide by net kg.</x:v>
      </x:c>
      <x:c r="L167" s="31" t="str">
        <x:v>₹/kg</x:v>
      </x:c>
    </x:row>
    <x:row r="168" ht="74" customHeight="1">
      <x:c r="A168" s="14" t="str">
        <x:v>P0167</x:v>
      </x:c>
      <x:c r="B168" s="14" t="str">
        <x:v>SPICES</x:v>
      </x:c>
      <x:c r="C168" s="14" t="str">
        <x:v>Dried Raw Mango Slices</x:v>
      </x:c>
      <x:c r="D168" s="14" t="str">
        <x:v>सूखी कैरी / अमचूर फांक</x:v>
      </x:c>
      <x:c r="E168" s="14" t="str">
        <x:v>sookhi kairi / amchur faank, dried raw mango, dry mango slices</x:v>
      </x:c>
      <x:c r="F168" s="14" t="str">
        <x:v>Known varieties/types: Alphonso/Hapus, Kesar, Dasheri, Langra, Chausa, Banganapalli, Totapuri, Neelam, Safeda, Pairi, Mallika, Amrapali, Zardalu, Himsagar</x:v>
      </x:c>
      <x:c r="G168" s="14" t="str">
        <x:v>Uttar Pradesh: Lucknow-Malihabad, Saharanpur, Varanasi, Meerut; Maharashtra: Ratnagiri, Sindhudurg, Nashik, Pune; Gujarat: Junagadh, Gir Somnath, Kutch, Valsad; Andhra Pradesh: Chittoor, Krishna, Vizianagaram; Telangana: Mahabubnagar, Rangareddy; Karnataka: Kolar, Ramanagara; Bihar: Bhagalpur; West Bengal: Malda, Murshidabad</x:v>
      </x:c>
      <x:c r="H168" s="31" t="str">
        <x:v>Jute/gunny bag, HDPE sack, carton, or small bale for high-value spices</x:v>
      </x:c>
      <x:c r="I168" s="31" t="str">
        <x:v>₹/kg, ₹/quintal, or ₹/bag</x:v>
      </x:c>
      <x:c r="J168" s="31" t="str">
        <x:v>Typical wholesale sacks 25-50 kg; premium spices may be 5-10 kg cartons</x:v>
      </x:c>
      <x:c r="K168" s="31" t="str">
        <x:v>Normalize to ₹/kg for high-value spices and ₹/quintal for bulk spice seed. If quoted per bag, divide by net kg.</x:v>
      </x:c>
      <x:c r="L168" s="31" t="str">
        <x:v>₹/kg</x:v>
      </x:c>
    </x:row>
    <x:row r="169" ht="74" customHeight="1">
      <x:c r="A169" s="14" t="str">
        <x:v>P0168</x:v>
      </x:c>
      <x:c r="B169" s="14" t="str">
        <x:v>SPICES</x:v>
      </x:c>
      <x:c r="C169" s="14" t="str">
        <x:v>Dry Ginger</x:v>
      </x:c>
      <x:c r="D169" s="14" t="str">
        <x:v>सौंठ</x:v>
      </x:c>
      <x:c r="E169" s="14" t="str">
        <x:v>sonth, dry ginger</x:v>
      </x:c>
      <x:c r="F169" s="14" t="str">
        <x:v>Known varieties/types: Nadia, Rio-de-Janeiro, Maran, Varada, Mahima, Rejatha</x:v>
      </x:c>
      <x:c r="G169" s="14" t="str">
        <x:v>Kerala: Idukki, Wayanad; Karnataka: Kodagu, Hassan, Chikkamagaluru; Meghalaya: West Khasi Hills, Ri-Bhoi; Assam: Karbi Anglong; Sikkim and Arunachal hill belts; Maharashtra Satara/Sangli pockets</x:v>
      </x:c>
      <x:c r="H169" s="31" t="str">
        <x:v>Jute/gunny bag, HDPE sack, carton, or small bale for high-value spices</x:v>
      </x:c>
      <x:c r="I169" s="31" t="str">
        <x:v>₹/kg, ₹/quintal, or ₹/bag</x:v>
      </x:c>
      <x:c r="J169" s="31" t="str">
        <x:v>Typical wholesale sacks 25-50 kg; premium spices may be 5-10 kg cartons</x:v>
      </x:c>
      <x:c r="K169" s="31" t="str">
        <x:v>Normalize to ₹/kg for high-value spices and ₹/quintal for bulk spice seed. If quoted per bag, divide by net kg.</x:v>
      </x:c>
      <x:c r="L169" s="31" t="str">
        <x:v>₹/kg</x:v>
      </x:c>
    </x:row>
    <x:row r="170" ht="74" customHeight="1">
      <x:c r="A170" s="14" t="str">
        <x:v>P0169</x:v>
      </x:c>
      <x:c r="B170" s="14" t="str">
        <x:v>SPICES</x:v>
      </x:c>
      <x:c r="C170" s="14" t="str">
        <x:v>Fennel Seed</x:v>
      </x:c>
      <x:c r="D170" s="14" t="str">
        <x:v>सौंफ</x:v>
      </x:c>
      <x:c r="E170" s="14" t="str">
        <x:v>saunf, fennel seed</x:v>
      </x:c>
      <x:c r="F170" s="14" t="str">
        <x:v>Known varieties/types: Gujarat Fennel, RF-101, CO-1, bold and medium saunf types</x:v>
      </x:c>
      <x:c r="G170" s="14" t="str">
        <x:v>Gujarat: Mehsana, Banaskantha, Patan; Rajasthan: Nagaur, Jodhpur, Jalore; Uttar Pradesh and Madhya Pradesh seed-spice pockets</x:v>
      </x:c>
      <x:c r="H170" s="31" t="str">
        <x:v>Jute/gunny bag, HDPE sack, carton, or small bale for high-value spices</x:v>
      </x:c>
      <x:c r="I170" s="31" t="str">
        <x:v>₹/kg, ₹/quintal, or ₹/bag</x:v>
      </x:c>
      <x:c r="J170" s="31" t="str">
        <x:v>Typical wholesale sacks 25-50 kg; premium spices may be 5-10 kg cartons</x:v>
      </x:c>
      <x:c r="K170" s="31" t="str">
        <x:v>Normalize to ₹/kg for high-value spices and ₹/quintal for bulk spice seed. If quoted per bag, divide by net kg.</x:v>
      </x:c>
      <x:c r="L170" s="31" t="str">
        <x:v>₹/kg</x:v>
      </x:c>
    </x:row>
    <x:row r="171" ht="74" customHeight="1">
      <x:c r="A171" s="14" t="str">
        <x:v>P0170</x:v>
      </x:c>
      <x:c r="B171" s="14" t="str">
        <x:v>SPICES</x:v>
      </x:c>
      <x:c r="C171" s="14" t="str">
        <x:v>Fenugreek Seed</x:v>
      </x:c>
      <x:c r="D171" s="14" t="str">
        <x:v>मेथी दाना</x:v>
      </x:c>
      <x:c r="E171" s="14" t="str">
        <x:v>methi dana, fenugreek seed</x:v>
      </x:c>
      <x:c r="F171" s="14" t="str">
        <x:v>Known varieties/types: RMt-1, CO-1, Gujarat Methi, Kasuri seed types</x:v>
      </x:c>
      <x:c r="G171" s="14" t="str">
        <x:v>Rajasthan: Nagaur, Sikar, Jaipur; Gujarat: Mehsana, Banaskantha; Madhya Pradesh: Mandsaur, Neemuch, Indore; Uttar Pradesh pockets</x:v>
      </x:c>
      <x:c r="H171" s="31" t="str">
        <x:v>Jute/gunny bag, HDPE sack, carton, or small bale for high-value spices</x:v>
      </x:c>
      <x:c r="I171" s="31" t="str">
        <x:v>₹/kg, ₹/quintal, or ₹/bag</x:v>
      </x:c>
      <x:c r="J171" s="31" t="str">
        <x:v>Typical wholesale sacks 25-50 kg; premium spices may be 5-10 kg cartons</x:v>
      </x:c>
      <x:c r="K171" s="31" t="str">
        <x:v>Normalize to ₹/kg for high-value spices and ₹/quintal for bulk spice seed. If quoted per bag, divide by net kg.</x:v>
      </x:c>
      <x:c r="L171" s="31" t="str">
        <x:v>₹/kg</x:v>
      </x:c>
    </x:row>
    <x:row r="172" ht="74" customHeight="1">
      <x:c r="A172" s="14" t="str">
        <x:v>P0171</x:v>
      </x:c>
      <x:c r="B172" s="14" t="str">
        <x:v>SPICES</x:v>
      </x:c>
      <x:c r="C172" s="14" t="str">
        <x:v>Large Cardamom</x:v>
      </x:c>
      <x:c r="D172" s="14" t="str">
        <x:v>बड़ी इलायची</x:v>
      </x:c>
      <x:c r="E172" s="14" t="str">
        <x:v>badi elaichi, black cardamom, large cardamom</x:v>
      </x:c>
      <x:c r="F172" s="14" t="str">
        <x:v>Known varieties/types: Ramsey, Sawney, Varlangey, Seremna, Dzongu types</x:v>
      </x:c>
      <x:c r="G172" s="14" t="str">
        <x:v>Sikkim: Gangtok/East, North Sikkim, South Sikkim; West Bengal: Darjeeling/Kalimpong; Arunachal Pradesh and Nagaland hill belts</x:v>
      </x:c>
      <x:c r="H172" s="31" t="str">
        <x:v>Jute/gunny bag, HDPE sack, carton, or small bale for high-value spices</x:v>
      </x:c>
      <x:c r="I172" s="31" t="str">
        <x:v>₹/kg, ₹/quintal, or ₹/bag</x:v>
      </x:c>
      <x:c r="J172" s="31" t="str">
        <x:v>Typical wholesale sacks 25-50 kg; premium spices may be 5-10 kg cartons</x:v>
      </x:c>
      <x:c r="K172" s="31" t="str">
        <x:v>Normalize to ₹/kg for high-value spices and ₹/quintal for bulk spice seed. If quoted per bag, divide by net kg.</x:v>
      </x:c>
      <x:c r="L172" s="31" t="str">
        <x:v>₹/kg</x:v>
      </x:c>
    </x:row>
    <x:row r="173" ht="74" customHeight="1">
      <x:c r="A173" s="14" t="str">
        <x:v>P0172</x:v>
      </x:c>
      <x:c r="B173" s="14" t="str">
        <x:v>SPICES</x:v>
      </x:c>
      <x:c r="C173" s="14" t="str">
        <x:v>Mace Whole</x:v>
      </x:c>
      <x:c r="D173" s="14" t="str">
        <x:v>जावित्री</x:v>
      </x:c>
      <x:c r="E173" s="14" t="str">
        <x:v>javitri, mace</x:v>
      </x:c>
      <x:c r="F173" s="14" t="str">
        <x:v>Known varieties/types: mace from nutmeg varieties; quality by blade color and aroma, not cultivar in mandi trade</x:v>
      </x:c>
      <x:c r="G173" s="14" t="str">
        <x:v>Kerala: Idukki, Ernakulam; Tamil Nadu: Nilgiris/Kanyakumari; Karnataka: Kodagu; same nutmeg orchards produce mace</x:v>
      </x:c>
      <x:c r="H173" s="31" t="str">
        <x:v>Jute/gunny bag, HDPE sack, carton, or small bale for high-value spices</x:v>
      </x:c>
      <x:c r="I173" s="31" t="str">
        <x:v>₹/kg, ₹/quintal, or ₹/bag</x:v>
      </x:c>
      <x:c r="J173" s="31" t="str">
        <x:v>Typical wholesale sacks 25-50 kg; premium spices may be 5-10 kg cartons</x:v>
      </x:c>
      <x:c r="K173" s="31" t="str">
        <x:v>Normalize to ₹/kg for high-value spices and ₹/quintal for bulk spice seed. If quoted per bag, divide by net kg.</x:v>
      </x:c>
      <x:c r="L173" s="31" t="str">
        <x:v>₹/kg</x:v>
      </x:c>
    </x:row>
    <x:row r="174" ht="74" customHeight="1">
      <x:c r="A174" s="14" t="str">
        <x:v>P0173</x:v>
      </x:c>
      <x:c r="B174" s="14" t="str">
        <x:v>SPICES</x:v>
      </x:c>
      <x:c r="C174" s="14" t="str">
        <x:v>Poppy Seed</x:v>
      </x:c>
      <x:c r="D174" s="14" t="str">
        <x:v>खसखस</x:v>
      </x:c>
      <x:c r="E174" s="14" t="str">
        <x:v>khuskhus, poppy seed</x:v>
      </x:c>
      <x:c r="F174" s="14" t="str">
        <x:v>Known varieties/types: opium poppy seed from licensed cultivation; white and blue poppy seed market grades</x:v>
      </x:c>
      <x:c r="G174" s="14" t="str">
        <x:v>Licensed cultivation belts in Madhya Pradesh: Neemuch, Mandsaur, Ratlam; Rajasthan: Chittorgarh, Pratapgarh, Kota; Uttar Pradesh: Barabanki and nearby opium-poppy areas</x:v>
      </x:c>
      <x:c r="H174" s="31" t="str">
        <x:v>Jute/gunny bag, HDPE sack, carton, or small bale for high-value spices</x:v>
      </x:c>
      <x:c r="I174" s="31" t="str">
        <x:v>₹/kg, ₹/quintal, or ₹/bag</x:v>
      </x:c>
      <x:c r="J174" s="31" t="str">
        <x:v>Typical wholesale sacks 25-50 kg; premium spices may be 5-10 kg cartons</x:v>
      </x:c>
      <x:c r="K174" s="31" t="str">
        <x:v>Normalize to ₹/kg for high-value spices and ₹/quintal for bulk spice seed. If quoted per bag, divide by net kg.</x:v>
      </x:c>
      <x:c r="L174" s="31" t="str">
        <x:v>₹/kg</x:v>
      </x:c>
    </x:row>
    <x:row r="175" ht="74" customHeight="1">
      <x:c r="A175" s="14" t="str">
        <x:v>P0174</x:v>
      </x:c>
      <x:c r="B175" s="14" t="str">
        <x:v>SPICES</x:v>
      </x:c>
      <x:c r="C175" s="14" t="str">
        <x:v>Red Chilli</x:v>
      </x:c>
      <x:c r="D175" s="14" t="str">
        <x:v>लाल मिर्च</x:v>
      </x:c>
      <x:c r="E175" s="14" t="str">
        <x:v>laal mirch, red chilli, dry chilli</x:v>
      </x:c>
      <x:c r="F175" s="14" t="str">
        <x:v>Known varieties/types: Guntur Sannam, Teja, Byadgi, Kashmiri, Mathania, Mundu/round chilli, Bhiwapur, Kanthari</x:v>
      </x:c>
      <x:c r="G175" s="14" t="str">
        <x:v>Andhra Pradesh: Guntur, Prakasam; Telangana: Warangal, Khammam; Karnataka: Haveri, Dharwad/Byadgi; Maharashtra: Nagpur, Nandurbar; Rajasthan: Jodhpur/Mathania; Tamil Nadu: Ramanathapuram; Kashmir chilli pockets</x:v>
      </x:c>
      <x:c r="H175" s="31" t="str">
        <x:v>Jute/gunny bag, HDPE sack, carton, or small bale for high-value spices</x:v>
      </x:c>
      <x:c r="I175" s="31" t="str">
        <x:v>₹/kg, ₹/quintal, or ₹/bag</x:v>
      </x:c>
      <x:c r="J175" s="31" t="str">
        <x:v>Typical wholesale sacks 25-50 kg; premium spices may be 5-10 kg cartons</x:v>
      </x:c>
      <x:c r="K175" s="31" t="str">
        <x:v>Normalize to ₹/kg for high-value spices and ₹/quintal for bulk spice seed. If quoted per bag, divide by net kg.</x:v>
      </x:c>
      <x:c r="L175" s="31" t="str">
        <x:v>₹/kg</x:v>
      </x:c>
    </x:row>
    <x:row r="176" ht="74" customHeight="1">
      <x:c r="A176" s="14" t="str">
        <x:v>P0175</x:v>
      </x:c>
      <x:c r="B176" s="14" t="str">
        <x:v>SPICES</x:v>
      </x:c>
      <x:c r="C176" s="14" t="str">
        <x:v>Tejpata</x:v>
      </x:c>
      <x:c r="D176" s="14" t="str">
        <x:v>तेज पत्ता</x:v>
      </x:c>
      <x:c r="E176" s="14" t="str">
        <x:v>tej patta, bay leaf, tejpatta</x:v>
      </x:c>
      <x:c r="F176" s="14" t="str">
        <x:v>Known varieties/types: Indian bay leaf/Cinnamomum tamala local leaf types; quality by size/aroma</x:v>
      </x:c>
      <x:c r="G176" s="14" t="str">
        <x:v>Uttarakhand: Chamoli, Pithoragarh, Almora; Sikkim and North Bengal hill belts; Arunachal/Assam hill forests; traded from Himalayan bay-leaf collection belts</x:v>
      </x:c>
      <x:c r="H176" s="31" t="str">
        <x:v>Jute/gunny bag, HDPE sack, carton, or small bale for high-value spices</x:v>
      </x:c>
      <x:c r="I176" s="31" t="str">
        <x:v>₹/kg, ₹/quintal, or ₹/bag</x:v>
      </x:c>
      <x:c r="J176" s="31" t="str">
        <x:v>Typical wholesale sacks 25-50 kg; premium spices may be 5-10 kg cartons</x:v>
      </x:c>
      <x:c r="K176" s="31" t="str">
        <x:v>Normalize to ₹/kg for high-value spices and ₹/quintal for bulk spice seed. If quoted per bag, divide by net kg.</x:v>
      </x:c>
      <x:c r="L176" s="31" t="str">
        <x:v>₹/kg</x:v>
      </x:c>
    </x:row>
    <x:row r="177" ht="74" customHeight="1">
      <x:c r="A177" s="14" t="str">
        <x:v>P0176</x:v>
      </x:c>
      <x:c r="B177" s="14" t="str">
        <x:v>SPICES</x:v>
      </x:c>
      <x:c r="C177" s="14" t="str">
        <x:v>Turmeric</x:v>
      </x:c>
      <x:c r="D177" s="14" t="str">
        <x:v>हल्दी</x:v>
      </x:c>
      <x:c r="E177" s="14" t="str">
        <x:v>haldi, turmeric</x:v>
      </x:c>
      <x:c r="F177" s="14" t="str">
        <x:v>Known varieties/types: Salem, Erode local, Alleppey, Rajendra Sonia, Pragati, Pratibha, Lakadong turmeric</x:v>
      </x:c>
      <x:c r="G177" s="14" t="str">
        <x:v>Telangana: Nizamabad, Jagtial; Maharashtra: Sangli, Hingoli, Nanded; Tamil Nadu: Erode, Salem; Odisha: Kandhamal; Meghalaya: West Jaintia Hills/Lakadong; Andhra/Karnataka pockets</x:v>
      </x:c>
      <x:c r="H177" s="31" t="str">
        <x:v>Jute/gunny bag, HDPE sack, carton, or small bale for high-value spices</x:v>
      </x:c>
      <x:c r="I177" s="31" t="str">
        <x:v>₹/kg, ₹/quintal, or ₹/bag</x:v>
      </x:c>
      <x:c r="J177" s="31" t="str">
        <x:v>Typical wholesale sacks 25-50 kg; premium spices may be 5-10 kg cartons</x:v>
      </x:c>
      <x:c r="K177" s="31" t="str">
        <x:v>Normalize to ₹/kg for high-value spices and ₹/quintal for bulk spice seed. If quoted per bag, divide by net kg.</x:v>
      </x:c>
      <x:c r="L177" s="31" t="str">
        <x:v>₹/kg</x:v>
      </x:c>
    </x:row>
    <x:row r="178" ht="74" customHeight="1">
      <x:c r="A178" s="14" t="str">
        <x:v>P0177</x:v>
      </x:c>
      <x:c r="B178" s="14" t="str">
        <x:v>MISC / MARKET COMMODITIES</x:v>
      </x:c>
      <x:c r="C178" s="14" t="str">
        <x:v>Almond Kernel</x:v>
      </x:c>
      <x:c r="D178" s="14" t="str">
        <x:v>बादाम गिरी</x:v>
      </x:c>
      <x:c r="E178" s="14" t="str">
        <x:v>badam giri, almond kernel, badam</x:v>
      </x:c>
      <x:c r="F178" s="14" t="str">
        <x:v>Known varieties/types: Shalimar, Waris, Makhdoom, California imported types, Kashmir almond selections</x:v>
      </x:c>
      <x:c r="G178" s="14" t="str">
        <x:v>Jammu &amp; Kashmir: Pulwama, Budgam, Srinagar; Himachal Pradesh: Kinnaur, Lahaul-Spiti; Ladakh: Leh, Kargil; imported arrivals in major dry-fruit markets</x:v>
      </x:c>
      <x:c r="H178" s="31" t="str">
        <x:v>Carton, tin, vacuum pouch inside carton, or HDPE/jute sack for bulk lots</x:v>
      </x:c>
      <x:c r="I178" s="31" t="str">
        <x:v>₹/kg, ₹/carton, or ₹/bag</x:v>
      </x:c>
      <x:c r="J178" s="31" t="str">
        <x:v>Dry fruit/nut cartons commonly 5-25 kg; raw nut bags may be 25-50 kg</x:v>
      </x:c>
      <x:c r="K178" s="31" t="str">
        <x:v>Normalize to ₹/kg. If carton/bag quote is given, ₹/kg = pack price ÷ net kg; keep grade/size count separately.</x:v>
      </x:c>
      <x:c r="L178" s="31" t="str">
        <x:v>₹/kg</x:v>
      </x:c>
    </x:row>
    <x:row r="179" ht="74" customHeight="1">
      <x:c r="A179" s="14" t="str">
        <x:v>P0178</x:v>
      </x:c>
      <x:c r="B179" s="14" t="str">
        <x:v>MISC / MARKET COMMODITIES</x:v>
      </x:c>
      <x:c r="C179" s="14" t="str">
        <x:v>Anthurium</x:v>
      </x:c>
      <x:c r="D179" s="14" t="str">
        <x:v>एन्थूरियम फूल</x:v>
      </x:c>
      <x:c r="E179" s="14" t="str">
        <x:v>anthurium phool, anthurium flower</x:v>
      </x:c>
      <x:c r="F179" s="14" t="str">
        <x:v>Known varieties/types: Tropical, Acropolis, Mauritius, red/pink/white anthurium cut-flower types</x:v>
      </x:c>
      <x:c r="G179" s="14" t="str">
        <x:v>Kerala: Ernakulam, Wayanad; Karnataka: Kodagu; Tamil Nadu: Nilgiris; North East: Sikkim, Mizoram, Meghalaya protected flower belts</x:v>
      </x:c>
      <x:c r="H179" s="31" t="str">
        <x:v>Bunches/stems in plastic crate, corrugated carton, or loose flower sack/basket</x:v>
      </x:c>
      <x:c r="I179" s="31" t="str">
        <x:v>₹/kg, ₹/bunch, ₹/100 stems, or ₹/crate</x:v>
      </x:c>
      <x:c r="J179" s="31" t="str">
        <x:v>Stem/bunch count is market-specific; marigold/chrysanthemum often kg, cut flowers often stem/bunch</x:v>
      </x:c>
      <x:c r="K179" s="31" t="str">
        <x:v>Keep the raw quote unit. For loose flowers use ₹/kg. For cut flowers normalize to ₹/stem or ₹/100 stems; only convert to kg if weighed sample is available.</x:v>
      </x:c>
      <x:c r="L179" s="31" t="str">
        <x:v>₹/kg or ₹/stem</x:v>
      </x:c>
    </x:row>
    <x:row r="180" ht="74" customHeight="1">
      <x:c r="A180" s="14" t="str">
        <x:v>P0179</x:v>
      </x:c>
      <x:c r="B180" s="14" t="str">
        <x:v>MISC / MARKET COMMODITIES</x:v>
      </x:c>
      <x:c r="C180" s="14" t="str">
        <x:v>Areca Nut / Betel Nut</x:v>
      </x:c>
      <x:c r="D180" s="14" t="str">
        <x:v>सुपारी</x:v>
      </x:c>
      <x:c r="E180" s="14" t="str">
        <x:v>supari, areca nut, betel nut</x:v>
      </x:c>
      <x:c r="F180" s="14" t="str">
        <x:v>Known varieties/types: Mangala, Sumangala, Sreemangala, Mohitnagar, Hirehalli Dwarf, chali and red-boiled supari types</x:v>
      </x:c>
      <x:c r="G180" s="14" t="str">
        <x:v>Karnataka: Shivamogga, Dakshina Kannada, Uttara Kannada, Chikkamagaluru; Kerala: Kasaragod, Kannur; Assam: Kamrup, Nagaon; Meghalaya and West Bengal pockets</x:v>
      </x:c>
      <x:c r="H180" s="31" t="str">
        <x:v>Jute/HDPE sack, carton, or crate depending on moisture and grade</x:v>
      </x:c>
      <x:c r="I180" s="31" t="str">
        <x:v>₹/kg, ₹/quintal, ₹/bag, ₹/carton, or lot rate</x:v>
      </x:c>
      <x:c r="J180" s="31" t="str">
        <x:v>Most dry/semi-dry lots use 25-50 kg bags; fresh/semi-fresh lots may use crates</x:v>
      </x:c>
      <x:c r="K180" s="31" t="str">
        <x:v>Normalize by net weight. ₹/kg = lot price ÷ net kg; ₹/quintal = ₹/kg × 100. Capture moisture/grade where relevant.</x:v>
      </x:c>
      <x:c r="L180" s="31" t="str">
        <x:v>₹/kg or ₹/quintal</x:v>
      </x:c>
    </x:row>
    <x:row r="181" ht="74" customHeight="1">
      <x:c r="A181" s="14" t="str">
        <x:v>P0180</x:v>
      </x:c>
      <x:c r="B181" s="14" t="str">
        <x:v>MISC / MARKET COMMODITIES</x:v>
      </x:c>
      <x:c r="C181" s="14" t="str">
        <x:v>Bamboo</x:v>
      </x:c>
      <x:c r="D181" s="14" t="str">
        <x:v>बांस</x:v>
      </x:c>
      <x:c r="E181" s="14" t="str">
        <x:v>baans, bamboo</x:v>
      </x:c>
      <x:c r="F181" s="14" t="str">
        <x:v>Known varieties/types: Bambusa balcooa, Dendrocalamus asper, bamboo shoot types vary by region</x:v>
      </x:c>
      <x:c r="G181" s="14" t="str">
        <x:v>North East: Assam, Meghalaya, Tripura, Mizoram, Manipur; Odisha/Chhattisgarh forest belts; Maharashtra and Karnataka bamboo clusters; shoots common from Assam, Tripura, Meghalaya</x:v>
      </x:c>
      <x:c r="H181" s="31" t="str">
        <x:v>Loose poles/canes tied in bundles or truck lots</x:v>
      </x:c>
      <x:c r="I181" s="31" t="str">
        <x:v>₹/piece, ₹/bundle, ₹/100 pieces, or tonne/lot</x:v>
      </x:c>
      <x:c r="J181" s="31" t="str">
        <x:v>Count and diameter/length grade matter; capture pieces per bundle and size grade</x:v>
      </x:c>
      <x:c r="K181" s="31" t="str">
        <x:v>Value by count and grade. Normalize to ₹/piece for poles, or ₹/tonne only when weighed lot data exists.</x:v>
      </x:c>
      <x:c r="L181" s="31" t="str">
        <x:v>₹/piece</x:v>
      </x:c>
    </x:row>
    <x:row r="182" ht="74" customHeight="1">
      <x:c r="A182" s="14" t="str">
        <x:v>P0181</x:v>
      </x:c>
      <x:c r="B182" s="14" t="str">
        <x:v>MISC / MARKET COMMODITIES</x:v>
      </x:c>
      <x:c r="C182" s="14" t="str">
        <x:v>Banana Stem</x:v>
      </x:c>
      <x:c r="D182" s="14" t="str">
        <x:v>केले का तना</x:v>
      </x:c>
      <x:c r="E182" s="14" t="str">
        <x:v>kele ka tana, banana stem</x:v>
      </x:c>
      <x:c r="F182" s="14" t="str">
        <x:v>Known varieties/types: Grand Naine/G9, Dwarf Cavendish, Robusta, Rasthali, Poovan, Nendran, Red Banana, Yelakki, Ney Poovan, Monthan/raw banana</x:v>
      </x:c>
      <x:c r="G182" s="14" t="str">
        <x:v>Maharashtra: Jalgaon, Nandurbar, Dhule; Andhra Pradesh: Anantapur, Kadapa, East Godavari; Tamil Nadu: Theni, Tiruchirappalli, Coimbatore, Erode; Gujarat: Bharuch, Narmada, Anand; Karnataka: Mysuru, Bagalkot, Belagavi; Bihar: Vaishali, Katihar; Assam/North East pockets</x:v>
      </x:c>
      <x:c r="H182" s="31" t="str">
        <x:v>Jute/HDPE sack, carton, or crate depending on moisture and grade</x:v>
      </x:c>
      <x:c r="I182" s="31" t="str">
        <x:v>₹/kg, ₹/quintal, ₹/bag, ₹/carton, or lot rate</x:v>
      </x:c>
      <x:c r="J182" s="31" t="str">
        <x:v>Most dry/semi-dry lots use 25-50 kg bags; fresh/semi-fresh lots may use crates</x:v>
      </x:c>
      <x:c r="K182" s="31" t="str">
        <x:v>Normalize by net weight. ₹/kg = lot price ÷ net kg; ₹/quintal = ₹/kg × 100. Capture moisture/grade where relevant.</x:v>
      </x:c>
      <x:c r="L182" s="31" t="str">
        <x:v>₹/kg or ₹/quintal</x:v>
      </x:c>
    </x:row>
    <x:row r="183" ht="74" customHeight="1">
      <x:c r="A183" s="14" t="str">
        <x:v>P0182</x:v>
      </x:c>
      <x:c r="B183" s="14" t="str">
        <x:v>MISC / MARKET COMMODITIES</x:v>
      </x:c>
      <x:c r="C183" s="14" t="str">
        <x:v>Banarasi Paan Leaf</x:v>
      </x:c>
      <x:c r="D183" s="14" t="str">
        <x:v>बनारसी पान पत्ता</x:v>
      </x:c>
      <x:c r="E183" s="14" t="str">
        <x:v>banarasi paan patta, banarasi paan</x:v>
      </x:c>
      <x:c r="F183" s="14" t="str">
        <x:v>Known varieties/types: Banarasi, Magahi, Desawari, Calcutta, Sanchi, Bangla paan leaf types</x:v>
      </x:c>
      <x:c r="G183" s="14" t="str">
        <x:v>Uttar Pradesh: Varanasi/Banaras; Bihar: Magadh/Gaya-Nalanda; West Bengal: Midnapore, Howrah; Odisha: Cuttack/Puri; Assam/North East and Tamil Nadu betel-vine belts</x:v>
      </x:c>
      <x:c r="H183" s="31" t="str">
        <x:v>Leaf bundles/gaddis in bamboo basket, crate or moist-lined carton</x:v>
      </x:c>
      <x:c r="I183" s="31" t="str">
        <x:v>₹/100 leaves, ₹/1,000 leaves, ₹/bundle/gaddi, or ₹/basket</x:v>
      </x:c>
      <x:c r="J183" s="31" t="str">
        <x:v>Bundle count varies by mandi; always capture leaves per bundle or basket count</x:v>
      </x:c>
      <x:c r="K183" s="31" t="str">
        <x:v>Value by count first: total value = bundle count × bundle rate. If comparing across markets, normalize to ₹/100 leaves after capturing leaf count.</x:v>
      </x:c>
      <x:c r="L183" s="31" t="str">
        <x:v>₹/100 leaves</x:v>
      </x:c>
    </x:row>
    <x:row r="184" ht="74" customHeight="1">
      <x:c r="A184" s="14" t="str">
        <x:v>P0183</x:v>
      </x:c>
      <x:c r="B184" s="14" t="str">
        <x:v>MISC / MARKET COMMODITIES</x:v>
      </x:c>
      <x:c r="C184" s="14" t="str">
        <x:v>Betel Leaves</x:v>
      </x:c>
      <x:c r="D184" s="14" t="str">
        <x:v>पान पत्ता</x:v>
      </x:c>
      <x:c r="E184" s="14" t="str">
        <x:v>paan patta, betel leaf, paan</x:v>
      </x:c>
      <x:c r="F184" s="14" t="str">
        <x:v>Known varieties/types: Banarasi, Magahi, Desawari, Calcutta, Sanchi, Bangla paan leaf types</x:v>
      </x:c>
      <x:c r="G184" s="14" t="str">
        <x:v>Uttar Pradesh: Varanasi/Banaras; Bihar: Magadh/Gaya-Nalanda; West Bengal: Midnapore, Howrah; Odisha: Cuttack/Puri; Assam/North East and Tamil Nadu betel-vine belts</x:v>
      </x:c>
      <x:c r="H184" s="31" t="str">
        <x:v>Leaf bundles/gaddis in bamboo basket, crate or moist-lined carton</x:v>
      </x:c>
      <x:c r="I184" s="31" t="str">
        <x:v>₹/100 leaves, ₹/1,000 leaves, ₹/bundle/gaddi, or ₹/basket</x:v>
      </x:c>
      <x:c r="J184" s="31" t="str">
        <x:v>Bundle count varies by mandi; always capture leaves per bundle or basket count</x:v>
      </x:c>
      <x:c r="K184" s="31" t="str">
        <x:v>Value by count first: total value = bundle count × bundle rate. If comparing across markets, normalize to ₹/100 leaves after capturing leaf count.</x:v>
      </x:c>
      <x:c r="L184" s="31" t="str">
        <x:v>₹/100 leaves</x:v>
      </x:c>
    </x:row>
    <x:row r="185" ht="74" customHeight="1">
      <x:c r="A185" s="14" t="str">
        <x:v>P0184</x:v>
      </x:c>
      <x:c r="B185" s="14" t="str">
        <x:v>MISC / MARKET COMMODITIES</x:v>
      </x:c>
      <x:c r="C185" s="14" t="str">
        <x:v>Carnation</x:v>
      </x:c>
      <x:c r="D185" s="14" t="str">
        <x:v>कार्नेशन फूल</x:v>
      </x:c>
      <x:c r="E185" s="14" t="str">
        <x:v>carnation phool, carnation flower</x:v>
      </x:c>
      <x:c r="F185" s="14" t="str">
        <x:v>Known varieties/types: Standard and spray carnation; red, pink, white, yellow commercial cultivars</x:v>
      </x:c>
      <x:c r="G185" s="14" t="str">
        <x:v>Himachal: Solan, Sirmaur; Uttarakhand: Dehradun; Karnataka: Bengaluru Rural; Maharashtra: Pune; Tamil Nadu Nilgiris; protected floriculture belts</x:v>
      </x:c>
      <x:c r="H185" s="31" t="str">
        <x:v>Bunches/stems in plastic crate, corrugated carton, or loose flower sack/basket</x:v>
      </x:c>
      <x:c r="I185" s="31" t="str">
        <x:v>₹/kg, ₹/bunch, ₹/100 stems, or ₹/crate</x:v>
      </x:c>
      <x:c r="J185" s="31" t="str">
        <x:v>Stem/bunch count is market-specific; marigold/chrysanthemum often kg, cut flowers often stem/bunch</x:v>
      </x:c>
      <x:c r="K185" s="31" t="str">
        <x:v>Keep the raw quote unit. For loose flowers use ₹/kg. For cut flowers normalize to ₹/stem or ₹/100 stems; only convert to kg if weighed sample is available.</x:v>
      </x:c>
      <x:c r="L185" s="31" t="str">
        <x:v>₹/kg or ₹/stem</x:v>
      </x:c>
    </x:row>
    <x:row r="186" ht="74" customHeight="1">
      <x:c r="A186" s="14" t="str">
        <x:v>P0185</x:v>
      </x:c>
      <x:c r="B186" s="14" t="str">
        <x:v>MISC / MARKET COMMODITIES</x:v>
      </x:c>
      <x:c r="C186" s="14" t="str">
        <x:v>Chhappan Kaddu</x:v>
      </x:c>
      <x:c r="D186" s="14" t="str">
        <x:v>छप्पन कद्दू</x:v>
      </x:c>
      <x:c r="E186" s="14" t="str">
        <x:v>chhappan kaddu, chappan kaddu</x:v>
      </x:c>
      <x:c r="F186" s="14" t="str">
        <x:v>Known varieties/types: Pusa Vishwas, Arka Suryamukhi, Ambili, Chhappan Kaddu, red/yellow pumpkin types</x:v>
      </x:c>
      <x:c r="G186" s="14" t="str">
        <x:v>Uttar Pradesh: Lucknow, Kanpur, Agra; Bihar: Patna, Nalanda; West Bengal: Nadia, Hooghly; Odisha: Cuttack, Puri; Maharashtra: Pune, Nashik; Karnataka/Tamil Nadu vegetable belts</x:v>
      </x:c>
      <x:c r="H186" s="31" t="str">
        <x:v>Plastic crate, bamboo basket, or loose gourd lot</x:v>
      </x:c>
      <x:c r="I186" s="31" t="str">
        <x:v>₹/kg, ₹/piece, ₹/crate, or lot rate</x:v>
      </x:c>
      <x:c r="J186" s="31" t="str">
        <x:v>Large gourds may be loose/count-based; capture net kg and piece count</x:v>
      </x:c>
      <x:c r="K186" s="31" t="str">
        <x:v>Prefer ₹/kg. If quoted per piece/crate, convert only after weighing: ₹/kg = lot price ÷ net kg.</x:v>
      </x:c>
      <x:c r="L186" s="31" t="str">
        <x:v>₹/kg</x:v>
      </x:c>
    </x:row>
    <x:row r="187" ht="74" customHeight="1">
      <x:c r="A187" s="14" t="str">
        <x:v>P0186</x:v>
      </x:c>
      <x:c r="B187" s="14" t="str">
        <x:v>MISC / MARKET COMMODITIES</x:v>
      </x:c>
      <x:c r="C187" s="14" t="str">
        <x:v>Chironji</x:v>
      </x:c>
      <x:c r="D187" s="14" t="str">
        <x:v>चिरौंजी</x:v>
      </x:c>
      <x:c r="E187" s="14" t="str">
        <x:v>chironji, charoli</x:v>
      </x:c>
      <x:c r="F187" s="14" t="str">
        <x:v>Known varieties/types: forest-collected chironji/charoli kernels; traded by kernel quality, not cultivar</x:v>
      </x:c>
      <x:c r="G187" s="14" t="str">
        <x:v>Forest belts: Madhya Pradesh, Chhattisgarh, Jharkhand, Odisha, Maharashtra and Rajasthan; collection around Mandla, Bastar, Ranchi, Koraput, Gadchiroli and Udaipur</x:v>
      </x:c>
      <x:c r="H187" s="31" t="str">
        <x:v>Carton, tin, vacuum pouch inside carton, or HDPE/jute sack for bulk lots</x:v>
      </x:c>
      <x:c r="I187" s="31" t="str">
        <x:v>₹/kg, ₹/carton, or ₹/bag</x:v>
      </x:c>
      <x:c r="J187" s="31" t="str">
        <x:v>Dry fruit/nut cartons commonly 5-25 kg; raw nut bags may be 25-50 kg</x:v>
      </x:c>
      <x:c r="K187" s="31" t="str">
        <x:v>Normalize to ₹/kg. If carton/bag quote is given, ₹/kg = pack price ÷ net kg; keep grade/size count separately.</x:v>
      </x:c>
      <x:c r="L187" s="31" t="str">
        <x:v>₹/kg</x:v>
      </x:c>
    </x:row>
    <x:row r="188" ht="74" customHeight="1">
      <x:c r="A188" s="14" t="str">
        <x:v>P0187</x:v>
      </x:c>
      <x:c r="B188" s="14" t="str">
        <x:v>MISC / MARKET COMMODITIES</x:v>
      </x:c>
      <x:c r="C188" s="14" t="str">
        <x:v>Chrysanthemum</x:v>
      </x:c>
      <x:c r="D188" s="14" t="str">
        <x:v>गुलदाउदी</x:v>
      </x:c>
      <x:c r="E188" s="14" t="str">
        <x:v>guldavdi, chrysanthemum, guldaudi</x:v>
      </x:c>
      <x:c r="F188" s="14" t="str">
        <x:v>Known varieties/types: Standard and spray chrysanthemum, white/yellow/purple pompon types</x:v>
      </x:c>
      <x:c r="G188" s="14" t="str">
        <x:v>Karnataka: Bengaluru Rural, Kolar; Tamil Nadu: Hosur/Krishnagiri, Nilgiris; Maharashtra: Pune; West Bengal: Nadia, Hooghly; Delhi/NCR flower belts</x:v>
      </x:c>
      <x:c r="H188" s="31" t="str">
        <x:v>Bunches/stems in plastic crate, corrugated carton, or loose flower sack/basket</x:v>
      </x:c>
      <x:c r="I188" s="31" t="str">
        <x:v>₹/kg, ₹/bunch, ₹/100 stems, or ₹/crate</x:v>
      </x:c>
      <x:c r="J188" s="31" t="str">
        <x:v>Stem/bunch count is market-specific; marigold/chrysanthemum often kg, cut flowers often stem/bunch</x:v>
      </x:c>
      <x:c r="K188" s="31" t="str">
        <x:v>Keep the raw quote unit. For loose flowers use ₹/kg. For cut flowers normalize to ₹/stem or ₹/100 stems; only convert to kg if weighed sample is available.</x:v>
      </x:c>
      <x:c r="L188" s="31" t="str">
        <x:v>₹/kg or ₹/stem</x:v>
      </x:c>
    </x:row>
    <x:row r="189" ht="74" customHeight="1">
      <x:c r="A189" s="14" t="str">
        <x:v>P0188</x:v>
      </x:c>
      <x:c r="B189" s="14" t="str">
        <x:v>MISC / MARKET COMMODITIES</x:v>
      </x:c>
      <x:c r="C189" s="14" t="str">
        <x:v>Coconut</x:v>
      </x:c>
      <x:c r="D189" s="14" t="str">
        <x:v>नारियल</x:v>
      </x:c>
      <x:c r="E189" s="14" t="str">
        <x:v>nariyal, coconut</x:v>
      </x:c>
      <x:c r="F189" s="14" t="str">
        <x:v>Known varieties/types: West Coast Tall, East Coast Tall, Tiptur Tall, Chowghat Orange Dwarf, Dwarf x Tall hybrids, tender coconut grades</x:v>
      </x:c>
      <x:c r="G189" s="14" t="str">
        <x:v>Kerala: Kozhikode, Malappuram, Thrissur, Ernakulam; Tamil Nadu: Pollachi/Coimbatore, Thanjavur, Dindigul; Karnataka: Tumakuru, Hassan, Dakshina Kannada; Andhra: East/West Godavari; Maharashtra: Konkan; Odisha/West Bengal coast</x:v>
      </x:c>
      <x:c r="H189" s="31" t="str">
        <x:v>Loose count lots, net sack, gunny bag, bamboo basket, or truck lot</x:v>
      </x:c>
      <x:c r="I189" s="31" t="str">
        <x:v>₹/piece, ₹/100 pieces, ₹/bag, or lot rate</x:v>
      </x:c>
      <x:c r="J189" s="31" t="str">
        <x:v>Count and size vary; capture pieces per bag/lot and average size</x:v>
      </x:c>
      <x:c r="K189" s="31" t="str">
        <x:v>Value by count first. For analytics, normalize to ₹/piece; convert to ₹/kg only if lot weight is known.</x:v>
      </x:c>
      <x:c r="L189" s="31" t="str">
        <x:v>₹/piece</x:v>
      </x:c>
    </x:row>
    <x:row r="190" ht="74" customHeight="1">
      <x:c r="A190" s="14" t="str">
        <x:v>P0189</x:v>
      </x:c>
      <x:c r="B190" s="14" t="str">
        <x:v>MISC / MARKET COMMODITIES</x:v>
      </x:c>
      <x:c r="C190" s="14" t="str">
        <x:v>Coconut With Husk</x:v>
      </x:c>
      <x:c r="D190" s="14" t="str">
        <x:v>छिलके वाला नारियल</x:v>
      </x:c>
      <x:c r="E190" s="14" t="str">
        <x:v>chilke wala nariyal, coconut with husk</x:v>
      </x:c>
      <x:c r="F190" s="14" t="str">
        <x:v>Known varieties/types: West Coast Tall, East Coast Tall, Tiptur Tall, Chowghat Orange Dwarf, Dwarf x Tall hybrids, tender coconut grades</x:v>
      </x:c>
      <x:c r="G190" s="14" t="str">
        <x:v>Kerala: Kozhikode, Malappuram, Thrissur, Ernakulam; Tamil Nadu: Pollachi/Coimbatore, Thanjavur, Dindigul; Karnataka: Tumakuru, Hassan, Dakshina Kannada; Andhra: East/West Godavari; Maharashtra: Konkan; Odisha/West Bengal coast</x:v>
      </x:c>
      <x:c r="H190" s="31" t="str">
        <x:v>Loose count lots, net sack, gunny bag, bamboo basket, or truck lot</x:v>
      </x:c>
      <x:c r="I190" s="31" t="str">
        <x:v>₹/piece, ₹/100 pieces, ₹/bag, or lot rate</x:v>
      </x:c>
      <x:c r="J190" s="31" t="str">
        <x:v>Count and size vary; husk adds weight, so capture pieces and grade</x:v>
      </x:c>
      <x:c r="K190" s="31" t="str">
        <x:v>Value by count first. For analytics, normalize to ₹/piece; convert to ₹/kg only if lot weight is known.</x:v>
      </x:c>
      <x:c r="L190" s="31" t="str">
        <x:v>₹/piece</x:v>
      </x:c>
    </x:row>
    <x:row r="191" ht="74" customHeight="1">
      <x:c r="A191" s="14" t="str">
        <x:v>P0190</x:v>
      </x:c>
      <x:c r="B191" s="14" t="str">
        <x:v>MISC / MARKET COMMODITIES</x:v>
      </x:c>
      <x:c r="C191" s="14" t="str">
        <x:v>Cotton</x:v>
      </x:c>
      <x:c r="D191" s="14" t="str">
        <x:v>कपास</x:v>
      </x:c>
      <x:c r="E191" s="14" t="str">
        <x:v>kapas, cotton</x:v>
      </x:c>
      <x:c r="F191" s="14" t="str">
        <x:v>Known varieties/types: Bt cotton hybrids, desi cotton, Shankar-6 lint/seed market type</x:v>
      </x:c>
      <x:c r="G191" s="14" t="str">
        <x:v>Gujarat: Rajkot, Jamnagar, Surendranagar, Bharuch; Maharashtra: Jalgaon, Akola, Amravati, Yavatmal, Wardha; Telangana: Adilabad, Warangal; Punjab: Bathinda, Mansa; Haryana: Sirsa, Hisar; Rajasthan: Ganganagar, Hanumangarh</x:v>
      </x:c>
      <x:c r="H191" s="31" t="str">
        <x:v>Bales, pressed bundles, jute/HDPE sacks, or loose auction lots</x:v>
      </x:c>
      <x:c r="I191" s="31" t="str">
        <x:v>₹/quintal, ₹/kg, ₹/bale, or lot rate</x:v>
      </x:c>
      <x:c r="J191" s="31" t="str">
        <x:v>Bale/bundle weight varies strongly; capture actual weighbridge/net lot weight</x:v>
      </x:c>
      <x:c r="K191" s="31" t="str">
        <x:v>For mandi analysis, normalize by weight: ₹/kg = total lot value ÷ net kg; ₹/quintal = ₹/kg × 100.</x:v>
      </x:c>
      <x:c r="L191" s="31" t="str">
        <x:v>₹/quintal</x:v>
      </x:c>
    </x:row>
    <x:row r="192" ht="74" customHeight="1">
      <x:c r="A192" s="14" t="str">
        <x:v>P0191</x:v>
      </x:c>
      <x:c r="B192" s="14" t="str">
        <x:v>MISC / MARKET COMMODITIES</x:v>
      </x:c>
      <x:c r="C192" s="14" t="str">
        <x:v>Gerbera</x:v>
      </x:c>
      <x:c r="D192" s="14" t="str">
        <x:v>जरबेरा फूल</x:v>
      </x:c>
      <x:c r="E192" s="14" t="str">
        <x:v>gerbera phool, gerbera flower</x:v>
      </x:c>
      <x:c r="F192" s="14" t="str">
        <x:v>Known varieties/types: Umran, Gola, Seb, Banarasi Karaka, Kaithali, Mehrun</x:v>
      </x:c>
      <x:c r="G192" s="14" t="str">
        <x:v>Rajasthan: Jaipur, Ajmer, Jodhpur, Barmer; Haryana: Hisar, Bhiwani; Punjab: Abohar, Fazilka; Gujarat: Kutch, Banaskantha; Maharashtra dry belts</x:v>
      </x:c>
      <x:c r="H192" s="31" t="str">
        <x:v>Bunches/stems in plastic crate, corrugated carton, or loose flower sack/basket</x:v>
      </x:c>
      <x:c r="I192" s="31" t="str">
        <x:v>₹/kg, ₹/bunch, ₹/100 stems, or ₹/crate</x:v>
      </x:c>
      <x:c r="J192" s="31" t="str">
        <x:v>Stem/bunch count is market-specific; marigold/chrysanthemum often kg, cut flowers often stem/bunch</x:v>
      </x:c>
      <x:c r="K192" s="31" t="str">
        <x:v>Keep the raw quote unit. For loose flowers use ₹/kg. For cut flowers normalize to ₹/stem or ₹/100 stems; only convert to kg if weighed sample is available.</x:v>
      </x:c>
      <x:c r="L192" s="31" t="str">
        <x:v>₹/kg or ₹/stem</x:v>
      </x:c>
    </x:row>
    <x:row r="193" ht="74" customHeight="1">
      <x:c r="A193" s="14" t="str">
        <x:v>P0192</x:v>
      </x:c>
      <x:c r="B193" s="14" t="str">
        <x:v>MISC / MARKET COMMODITIES</x:v>
      </x:c>
      <x:c r="C193" s="14" t="str">
        <x:v>Ginger Seed</x:v>
      </x:c>
      <x:c r="D193" s="14" t="str">
        <x:v>अदरक बीज</x:v>
      </x:c>
      <x:c r="E193" s="14" t="str">
        <x:v>adrak beej, ginger seed</x:v>
      </x:c>
      <x:c r="F193" s="14" t="str">
        <x:v>Known varieties/types: Nadia, Rio-de-Janeiro, Maran, Varada, Mahima, Rejatha</x:v>
      </x:c>
      <x:c r="G193" s="14" t="str">
        <x:v>Kerala: Idukki, Wayanad; Karnataka: Kodagu, Hassan, Chikkamagaluru; Meghalaya: West Khasi Hills, Ri-Bhoi; Assam: Karbi Anglong; Sikkim and Arunachal hill belts; Maharashtra Satara/Sangli pockets</x:v>
      </x:c>
      <x:c r="H193" s="31" t="str">
        <x:v>Commodity-specific wholesale lot: sack, carton, crate, bundle, bale, drum, or loose lot</x:v>
      </x:c>
      <x:c r="I193" s="31" t="str">
        <x:v>₹/kg, ₹/quintal, ₹/piece, ₹/bundle, or lot rate</x:v>
      </x:c>
      <x:c r="J193" s="31" t="str">
        <x:v>Capture actual net weight/count because this category is mixed</x:v>
      </x:c>
      <x:c r="K193" s="31" t="str">
        <x:v>Preserve raw quote unit, then normalize to ₹/kg for weight lots or ₹/piece for count lots. Avoid guessing pack weight.</x:v>
      </x:c>
      <x:c r="L193" s="31" t="str">
        <x:v>₹/kg or raw unit</x:v>
      </x:c>
    </x:row>
    <x:row r="194" ht="74" customHeight="1">
      <x:c r="A194" s="14" t="str">
        <x:v>P0193</x:v>
      </x:c>
      <x:c r="B194" s="14" t="str">
        <x:v>MISC / MARKET COMMODITIES</x:v>
      </x:c>
      <x:c r="C194" s="14" t="str">
        <x:v>Gladiolus</x:v>
      </x:c>
      <x:c r="D194" s="14" t="str">
        <x:v>ग्लैडियोलस फूल</x:v>
      </x:c>
      <x:c r="E194" s="14" t="str">
        <x:v>gladiolus phool, gladiolus flower</x:v>
      </x:c>
      <x:c r="F194" s="14" t="str">
        <x:v>Known varieties/types: American Beauty, Friendship, White Prosperity, Candyman, local gladiolus hybrids</x:v>
      </x:c>
      <x:c r="G194" s="14" t="str">
        <x:v>Himachal: Solan, Sirmaur; Uttarakhand: Dehradun; West Bengal: Nadia; Karnataka: Bengaluru; Maharashtra: Pune; NCR flower belts</x:v>
      </x:c>
      <x:c r="H194" s="31" t="str">
        <x:v>Bunches/stems in plastic crate, corrugated carton, or loose flower sack/basket</x:v>
      </x:c>
      <x:c r="I194" s="31" t="str">
        <x:v>₹/kg, ₹/bunch, ₹/100 stems, or ₹/crate</x:v>
      </x:c>
      <x:c r="J194" s="31" t="str">
        <x:v>Stem/bunch count is market-specific; marigold/chrysanthemum often kg, cut flowers often stem/bunch</x:v>
      </x:c>
      <x:c r="K194" s="31" t="str">
        <x:v>Keep the raw quote unit. For loose flowers use ₹/kg. For cut flowers normalize to ₹/stem or ₹/100 stems; only convert to kg if weighed sample is available.</x:v>
      </x:c>
      <x:c r="L194" s="31" t="str">
        <x:v>₹/kg or ₹/stem</x:v>
      </x:c>
    </x:row>
    <x:row r="195" ht="74" customHeight="1">
      <x:c r="A195" s="14" t="str">
        <x:v>P0194</x:v>
      </x:c>
      <x:c r="B195" s="14" t="str">
        <x:v>MISC / MARKET COMMODITIES</x:v>
      </x:c>
      <x:c r="C195" s="14" t="str">
        <x:v>Green Henna Leaf</x:v>
      </x:c>
      <x:c r="D195" s="14" t="str">
        <x:v>हरी मेहंदी पत्ती</x:v>
      </x:c>
      <x:c r="E195" s="14" t="str">
        <x:v>hari mehendi patti, henna leaf, mehendi</x:v>
      </x:c>
      <x:c r="F195" s="14" t="str">
        <x:v>Known varieties/types: Sojat henna, local mehndi leaf types; traded by leaf powder quality</x:v>
      </x:c>
      <x:c r="G195" s="14" t="str">
        <x:v>Rajasthan: Sojat/Pali, Jodhpur, Nagaur; Gujarat: Kutch, Banaskantha; Madhya Pradesh/UP dry pockets</x:v>
      </x:c>
      <x:c r="H195" s="31" t="str">
        <x:v>Commodity-specific wholesale lot: sack, carton, crate, bundle, bale, drum, or loose lot</x:v>
      </x:c>
      <x:c r="I195" s="31" t="str">
        <x:v>₹/kg, ₹/quintal, ₹/piece, ₹/bundle, or lot rate</x:v>
      </x:c>
      <x:c r="J195" s="31" t="str">
        <x:v>Capture actual net weight/count because this category is mixed</x:v>
      </x:c>
      <x:c r="K195" s="31" t="str">
        <x:v>Preserve raw quote unit, then normalize to ₹/kg for weight lots or ₹/piece for count lots. Avoid guessing pack weight.</x:v>
      </x:c>
      <x:c r="L195" s="31" t="str">
        <x:v>₹/kg or raw unit</x:v>
      </x:c>
    </x:row>
    <x:row r="196" ht="74" customHeight="1">
      <x:c r="A196" s="14" t="str">
        <x:v>P0195</x:v>
      </x:c>
      <x:c r="B196" s="14" t="str">
        <x:v>MISC / MARKET COMMODITIES</x:v>
      </x:c>
      <x:c r="C196" s="14" t="str">
        <x:v>Green Tea</x:v>
      </x:c>
      <x:c r="D196" s="14" t="str">
        <x:v>हरी चाय</x:v>
      </x:c>
      <x:c r="E196" s="14" t="str">
        <x:v>hari chai, green tea</x:v>
      </x:c>
      <x:c r="F196" s="14" t="str">
        <x:v>Known varieties/types: Assamica, China jat, clonal tea, orthodox, CTC, green tea, white tea grades</x:v>
      </x:c>
      <x:c r="G196" s="14" t="str">
        <x:v>Assam: Dibrugarh, Tinsukia, Jorhat; West Bengal: Darjeeling, Jalpaiguri, Dooars; Tamil Nadu: Nilgiris, Coimbatore; Kerala: Idukki, Wayanad; Karnataka: Chikkamagaluru; Tripura tea belts</x:v>
      </x:c>
      <x:c r="H196" s="31" t="str">
        <x:v>Jute bag, HDPE sack, chest/carton, or bulk lot</x:v>
      </x:c>
      <x:c r="I196" s="31" t="str">
        <x:v>₹/kg, ₹/quintal, or ₹/bag</x:v>
      </x:c>
      <x:c r="J196" s="31" t="str">
        <x:v>Common bags/chests 25-60 kg depending on commodity; capture actual net weight</x:v>
      </x:c>
      <x:c r="K196" s="31" t="str">
        <x:v>Normalize to ₹/kg for quality-sensitive lots. If ₹/quintal is quoted, ₹/kg = rate ÷ 100.</x:v>
      </x:c>
      <x:c r="L196" s="31" t="str">
        <x:v>₹/kg</x:v>
      </x:c>
    </x:row>
    <x:row r="197" ht="74" customHeight="1">
      <x:c r="A197" s="14" t="str">
        <x:v>P0196</x:v>
      </x:c>
      <x:c r="B197" s="14" t="str">
        <x:v>MISC / MARKET COMMODITIES</x:v>
      </x:c>
      <x:c r="C197" s="14" t="str">
        <x:v>Groundnut With Pods</x:v>
      </x:c>
      <x:c r="D197" s="14" t="str">
        <x:v>छिलके वाली मूंगफली</x:v>
      </x:c>
      <x:c r="E197" s="14" t="str">
        <x:v>chilke wali moongfali, groundnut with pods, peanut with shell</x:v>
      </x:c>
      <x:c r="F197" s="14" t="str">
        <x:v>Known varieties/types: SML-668, PDM-139, IPM-02-3, Samrat, local green gram types</x:v>
      </x:c>
      <x:c r="G197" s="14" t="str">
        <x:v>Rajasthan: Nagaur, Jodhpur, Jaipur, Ajmer; Maharashtra: Akola, Amravati, Jalgaon; Karnataka: Kalaburagi, Bidar; Madhya Pradesh: Ujjain, Indore; Uttar Pradesh: Hardoi, Sitapur; summer moong belts in Punjab/Haryana</x:v>
      </x:c>
      <x:c r="H197" s="31" t="str">
        <x:v>Jute/gunny bag, HDPE/PP woven sack, or loose pod lots</x:v>
      </x:c>
      <x:c r="I197" s="31" t="str">
        <x:v>₹/quintal, ₹/kg, or ₹/bag</x:v>
      </x:c>
      <x:c r="J197" s="31" t="str">
        <x:v>Usually 35-50 kg bags; capture actual net bag weight and moisture/grade</x:v>
      </x:c>
      <x:c r="K197" s="31" t="str">
        <x:v>Normalize to ₹/quintal. If quoted per bag, ₹/kg = bag price ÷ net kg, then ₹/quintal = ₹/kg × 100.</x:v>
      </x:c>
      <x:c r="L197" s="31" t="str">
        <x:v>₹/quintal</x:v>
      </x:c>
    </x:row>
    <x:row r="198" ht="74" customHeight="1">
      <x:c r="A198" s="14" t="str">
        <x:v>P0197</x:v>
      </x:c>
      <x:c r="B198" s="14" t="str">
        <x:v>MISC / MARKET COMMODITIES</x:v>
      </x:c>
      <x:c r="C198" s="14" t="str">
        <x:v>Guar Seed</x:v>
      </x:c>
      <x:c r="D198" s="14" t="str">
        <x:v>ग्वार बीज</x:v>
      </x:c>
      <x:c r="E198" s="14" t="str">
        <x:v>gwar beej, guar seed</x:v>
      </x:c>
      <x:c r="F198" s="14" t="str">
        <x:v>Known varieties/types: HG-365, RGC-936, RGC-1031, HGS series, guar seed and gum grades</x:v>
      </x:c>
      <x:c r="G198" s="14" t="str">
        <x:v>Rajasthan: Jodhpur, Bikaner, Churu, Nagaur, Barmer; Haryana: Hisar, Bhiwani; Gujarat: Kutch, Banaskantha; major gum processing around Jodhpur, Ahmedabad and Haryana/Rajasthan clusters</x:v>
      </x:c>
      <x:c r="H198" s="31" t="str">
        <x:v>Jute/HDPE sack, carton, or crate depending on moisture and grade</x:v>
      </x:c>
      <x:c r="I198" s="31" t="str">
        <x:v>₹/kg, ₹/quintal, ₹/bag, ₹/carton, or lot rate</x:v>
      </x:c>
      <x:c r="J198" s="31" t="str">
        <x:v>Most dry/semi-dry lots use 25-50 kg bags; fresh/semi-fresh lots may use crates</x:v>
      </x:c>
      <x:c r="K198" s="31" t="str">
        <x:v>Normalize by net weight. ₹/kg = lot price ÷ net kg; ₹/quintal = ₹/kg × 100. Capture moisture/grade where relevant.</x:v>
      </x:c>
      <x:c r="L198" s="31" t="str">
        <x:v>₹/kg or ₹/quintal</x:v>
      </x:c>
    </x:row>
    <x:row r="199" ht="74" customHeight="1">
      <x:c r="A199" s="14" t="str">
        <x:v>P0198</x:v>
      </x:c>
      <x:c r="B199" s="14" t="str">
        <x:v>MISC / MARKET COMMODITIES</x:v>
      </x:c>
      <x:c r="C199" s="14" t="str">
        <x:v>Isabgol</x:v>
      </x:c>
      <x:c r="D199" s="14" t="str">
        <x:v>इसबगोल</x:v>
      </x:c>
      <x:c r="E199" s="14" t="str">
        <x:v>isabgol, psyllium husk seed</x:v>
      </x:c>
      <x:c r="F199" s="14" t="str">
        <x:v>Known varieties/types: GI-2, HI-5, Gujarat Isabgol types; husk and seed grades</x:v>
      </x:c>
      <x:c r="G199" s="14" t="str">
        <x:v>Gujarat: Banaskantha, Mehsana, Patan; Rajasthan: Jalore, Barmer, Nagaur; processing/auction hubs around Unjha</x:v>
      </x:c>
      <x:c r="H199" s="31" t="str">
        <x:v>Jute/HDPE sack, carton, or crate depending on moisture and grade</x:v>
      </x:c>
      <x:c r="I199" s="31" t="str">
        <x:v>₹/kg, ₹/quintal, ₹/bag, ₹/carton, or lot rate</x:v>
      </x:c>
      <x:c r="J199" s="31" t="str">
        <x:v>Most dry/semi-dry lots use 25-50 kg bags; fresh/semi-fresh lots may use crates</x:v>
      </x:c>
      <x:c r="K199" s="31" t="str">
        <x:v>Normalize by net weight. ₹/kg = lot price ÷ net kg; ₹/quintal = ₹/kg × 100. Capture moisture/grade where relevant.</x:v>
      </x:c>
      <x:c r="L199" s="31" t="str">
        <x:v>₹/kg or ₹/quintal</x:v>
      </x:c>
    </x:row>
    <x:row r="200" ht="74" customHeight="1">
      <x:c r="A200" s="14" t="str">
        <x:v>P0199</x:v>
      </x:c>
      <x:c r="B200" s="14" t="str">
        <x:v>MISC / MARKET COMMODITIES</x:v>
      </x:c>
      <x:c r="C200" s="14" t="str">
        <x:v>Jackfruit Seed</x:v>
      </x:c>
      <x:c r="D200" s="14" t="str">
        <x:v>कटहल बीज</x:v>
      </x:c>
      <x:c r="E200" s="14" t="str">
        <x:v>kathal beej, jackfruit seed</x:v>
      </x:c>
      <x:c r="F200" s="14" t="str">
        <x:v>Known varieties/types: Singapore Jack, Muttom Varikka, Rudrakshi, local firm-flesh and soft-flesh types</x:v>
      </x:c>
      <x:c r="G200" s="14" t="str">
        <x:v>Kerala: Thrissur, Ernakulam, Kozhikode, Wayanad; Karnataka: Dakshina Kannada, Uttara Kannada, Hassan; Tamil Nadu: Panruti/Cuddalore, Dindigul; West Bengal/Assam/Odisha humid belts</x:v>
      </x:c>
      <x:c r="H200" s="31" t="str">
        <x:v>Jute/HDPE sack, carton, or crate depending on moisture and grade</x:v>
      </x:c>
      <x:c r="I200" s="31" t="str">
        <x:v>₹/kg, ₹/quintal, ₹/bag, ₹/carton, or lot rate</x:v>
      </x:c>
      <x:c r="J200" s="31" t="str">
        <x:v>Most dry/semi-dry lots use 25-50 kg bags; fresh/semi-fresh lots may use crates</x:v>
      </x:c>
      <x:c r="K200" s="31" t="str">
        <x:v>Normalize by net weight. ₹/kg = lot price ÷ net kg; ₹/quintal = ₹/kg × 100. Capture moisture/grade where relevant.</x:v>
      </x:c>
      <x:c r="L200" s="31" t="str">
        <x:v>₹/kg or ₹/quintal</x:v>
      </x:c>
    </x:row>
    <x:row r="201" ht="74" customHeight="1">
      <x:c r="A201" s="14" t="str">
        <x:v>P0200</x:v>
      </x:c>
      <x:c r="B201" s="14" t="str">
        <x:v>MISC / MARKET COMMODITIES</x:v>
      </x:c>
      <x:c r="C201" s="14" t="str">
        <x:v>Jaggery</x:v>
      </x:c>
      <x:c r="D201" s="14" t="str">
        <x:v>गुड़</x:v>
      </x:c>
      <x:c r="E201" s="14" t="str">
        <x:v>gud, jaggery, gur</x:v>
      </x:c>
      <x:c r="F201" s="14" t="str">
        <x:v>Known varieties/types: processed from sugarcane varieties; sold as desi gur, kolhu gur, powder/jaggery block, organic jaggery grades</x:v>
      </x:c>
      <x:c r="G201" s="14" t="str">
        <x:v>Base crop area (jaggery): Sugarcane belts: Uttar Pradesh Muzaffarnagar/Meerut/Bijnor/Lakhimpur; Maharashtra Kolhapur/Sangli/Pune/Solapur; Karnataka Mandya/Belagavi; Tamil Nadu Erode/Coimbatore; local kolhu belts near cane farms</x:v>
      </x:c>
      <x:c r="H201" s="31" t="str">
        <x:v>Blocks/bags/cartons/tins depending on form; bulk lots in sacks or cartons</x:v>
      </x:c>
      <x:c r="I201" s="31" t="str">
        <x:v>₹/kg, ₹/quintal, ₹/bag, or ₹/carton</x:v>
      </x:c>
      <x:c r="J201" s="31" t="str">
        <x:v>Common bags/cartons 25-50 kg; capture net weight and form/grade</x:v>
      </x:c>
      <x:c r="K201" s="31" t="str">
        <x:v>Normalize to ₹/kg or ₹/quintal. For carton/bag rates, divide by net kg and keep form/grade.</x:v>
      </x:c>
      <x:c r="L201" s="31" t="str">
        <x:v>₹/kg or ₹/quintal</x:v>
      </x:c>
    </x:row>
    <x:row r="202" ht="74" customHeight="1">
      <x:c r="A202" s="14" t="str">
        <x:v>P0201</x:v>
      </x:c>
      <x:c r="B202" s="14" t="str">
        <x:v>MISC / MARKET COMMODITIES</x:v>
      </x:c>
      <x:c r="C202" s="14" t="str">
        <x:v>Jute Seeds</x:v>
      </x:c>
      <x:c r="D202" s="14" t="str">
        <x:v>जूट बीज</x:v>
      </x:c>
      <x:c r="E202" s="14" t="str">
        <x:v>jute beej, jute seed</x:v>
      </x:c>
      <x:c r="F202" s="14" t="str">
        <x:v>Known varieties/types: JRO-524, JRO-204, JBO-2003H, tossa and white jute types</x:v>
      </x:c>
      <x:c r="G202" s="14" t="str">
        <x:v>West Bengal: Nadia, Murshidabad, North 24 Parganas, Cooch Behar; Bihar: Purnea, Katihar; Assam: Nagaon, Barpeta; Odisha and Tripura pockets</x:v>
      </x:c>
      <x:c r="H202" s="31" t="str">
        <x:v>Bales, pressed bundles, jute/HDPE sacks, or loose auction lots</x:v>
      </x:c>
      <x:c r="I202" s="31" t="str">
        <x:v>₹/quintal, ₹/kg, ₹/bale, or lot rate</x:v>
      </x:c>
      <x:c r="J202" s="31" t="str">
        <x:v>Bale/bundle weight varies strongly; capture actual weighbridge/net lot weight</x:v>
      </x:c>
      <x:c r="K202" s="31" t="str">
        <x:v>For mandi analysis, normalize by weight: ₹/kg = total lot value ÷ net kg; ₹/quintal = ₹/kg × 100.</x:v>
      </x:c>
      <x:c r="L202" s="31" t="str">
        <x:v>₹/quintal</x:v>
      </x:c>
    </x:row>
    <x:row r="203" ht="74" customHeight="1">
      <x:c r="A203" s="14" t="str">
        <x:v>P0202</x:v>
      </x:c>
      <x:c r="B203" s="14" t="str">
        <x:v>MISC / MARKET COMMODITIES</x:v>
      </x:c>
      <x:c r="C203" s="14" t="str">
        <x:v>Khandsari</x:v>
      </x:c>
      <x:c r="D203" s="14" t="str">
        <x:v>खांडसारी</x:v>
      </x:c>
      <x:c r="E203" s="14" t="str">
        <x:v>khandsari, khandsari sugar</x:v>
      </x:c>
      <x:c r="F203" s="14" t="str">
        <x:v>Known varieties/types: processed from sugarcane varieties; sold by grain/color/sulphurless grade, not cultivar</x:v>
      </x:c>
      <x:c r="G203" s="14" t="str">
        <x:v>Base crop area (khandsari): Sugarcane-processing belts of Uttar Pradesh, Maharashtra, Karnataka, Tamil Nadu and Punjab; areas include Muzaffarnagar, Meerut, Kolhapur, Sangli, Mandya, Erode and Ludhiana</x:v>
      </x:c>
      <x:c r="H203" s="31" t="str">
        <x:v>Blocks/bags/cartons/tins depending on form; bulk lots in sacks or cartons</x:v>
      </x:c>
      <x:c r="I203" s="31" t="str">
        <x:v>₹/kg, ₹/quintal, ₹/bag, or ₹/carton</x:v>
      </x:c>
      <x:c r="J203" s="31" t="str">
        <x:v>Common bags/cartons 25-50 kg; capture net weight and form/grade</x:v>
      </x:c>
      <x:c r="K203" s="31" t="str">
        <x:v>Normalize to ₹/kg or ₹/quintal. For carton/bag rates, divide by net kg and keep form/grade.</x:v>
      </x:c>
      <x:c r="L203" s="31" t="str">
        <x:v>₹/kg or ₹/quintal</x:v>
      </x:c>
    </x:row>
    <x:row r="204" ht="74" customHeight="1">
      <x:c r="A204" s="14" t="str">
        <x:v>P0203</x:v>
      </x:c>
      <x:c r="B204" s="14" t="str">
        <x:v>MISC / MARKET COMMODITIES</x:v>
      </x:c>
      <x:c r="C204" s="14" t="str">
        <x:v>Lavender Oil</x:v>
      </x:c>
      <x:c r="D204" s="14" t="str">
        <x:v>लैवेंडर तेल</x:v>
      </x:c>
      <x:c r="E204" s="14" t="str">
        <x:v>lavender tel, lavender oil</x:v>
      </x:c>
      <x:c r="F204" s="14" t="str">
        <x:v>Known varieties/types: Lavandula angustifolia, lavandin types, Kashmir/Jammu aroma mission selections</x:v>
      </x:c>
      <x:c r="G204" s="14" t="str">
        <x:v>Jammu &amp; Kashmir: Doda, Kishtwar, Bhaderwah; Himachal/Uttarakhand aromatic pockets; lavender oil/dried flower from Aroma Mission clusters</x:v>
      </x:c>
      <x:c r="H204" s="31" t="str">
        <x:v>Tin/can, HDPE drum or food-grade barrel; packed/carton bottles for retail-facing oil/honey lots</x:v>
      </x:c>
      <x:c r="I204" s="31" t="str">
        <x:v>₹/kg, ₹/litre, ₹/tin, ₹/drum, or ₹/quintal depending on market</x:v>
      </x:c>
      <x:c r="J204" s="31" t="str">
        <x:v>Common trade packs: 15 kg/15 L tin, 25-50 kg can, or larger drums; capture actual net weight/litre</x:v>
      </x:c>
      <x:c r="K204" s="31" t="str">
        <x:v>If quoted per tin/drum: normalized ₹/kg = lot price ÷ net kg. If quoted per litre, keep litre and convert only when density is known. For DCA-style wholesale, oils may appear as ₹/quintal.</x:v>
      </x:c>
      <x:c r="L204" s="31" t="str">
        <x:v>₹/kg or ₹/litre</x:v>
      </x:c>
    </x:row>
    <x:row r="205" ht="74" customHeight="1">
      <x:c r="A205" s="14" t="str">
        <x:v>P0204</x:v>
      </x:c>
      <x:c r="B205" s="14" t="str">
        <x:v>MISC / MARKET COMMODITIES</x:v>
      </x:c>
      <x:c r="C205" s="14" t="str">
        <x:v>Lavender Dried Flower</x:v>
      </x:c>
      <x:c r="D205" s="14" t="str">
        <x:v>सूखा लैवेंडर फूल</x:v>
      </x:c>
      <x:c r="E205" s="14" t="str">
        <x:v>sookha lavender phool, lavender dried flower</x:v>
      </x:c>
      <x:c r="F205" s="14" t="str">
        <x:v>Known varieties/types: Lavandula angustifolia, lavandin types, Kashmir/Jammu aroma mission selections</x:v>
      </x:c>
      <x:c r="G205" s="14" t="str">
        <x:v>Jammu &amp; Kashmir: Doda, Kishtwar, Bhaderwah; Himachal/Uttarakhand aromatic pockets; lavender oil/dried flower from Aroma Mission clusters</x:v>
      </x:c>
      <x:c r="H205" s="31" t="str">
        <x:v>Bunches/stems in plastic crate, corrugated carton, or loose flower sack/basket</x:v>
      </x:c>
      <x:c r="I205" s="31" t="str">
        <x:v>₹/kg, ₹/bunch, ₹/100 stems, or ₹/crate</x:v>
      </x:c>
      <x:c r="J205" s="31" t="str">
        <x:v>Stem/bunch count is market-specific; marigold/chrysanthemum often kg, cut flowers often stem/bunch</x:v>
      </x:c>
      <x:c r="K205" s="31" t="str">
        <x:v>Keep the raw quote unit. For loose flowers use ₹/kg. For cut flowers normalize to ₹/stem or ₹/100 stems; only convert to kg if weighed sample is available.</x:v>
      </x:c>
      <x:c r="L205" s="31" t="str">
        <x:v>₹/kg or ₹/stem</x:v>
      </x:c>
    </x:row>
    <x:row r="206" ht="74" customHeight="1">
      <x:c r="A206" s="14" t="str">
        <x:v>P0205</x:v>
      </x:c>
      <x:c r="B206" s="14" t="str">
        <x:v>MISC / MARKET COMMODITIES</x:v>
      </x:c>
      <x:c r="C206" s="14" t="str">
        <x:v>Lily</x:v>
      </x:c>
      <x:c r="D206" s="14" t="str">
        <x:v>लिली फूल</x:v>
      </x:c>
      <x:c r="E206" s="14" t="str">
        <x:v>lily phool, lily flower</x:v>
      </x:c>
      <x:c r="F206" s="14" t="str">
        <x:v>Known varieties/types: Asiatic lily, Oriental lily, LA hybrids; color-specific greenhouse cultivars</x:v>
      </x:c>
      <x:c r="G206" s="14" t="str">
        <x:v>Protected floriculture around Pune, Bengaluru, Nilgiris, Solan, Dehradun, Sikkim and Kashmir valley</x:v>
      </x:c>
      <x:c r="H206" s="31" t="str">
        <x:v>Bunches/stems in plastic crate, corrugated carton, or loose flower sack/basket</x:v>
      </x:c>
      <x:c r="I206" s="31" t="str">
        <x:v>₹/kg, ₹/bunch, ₹/100 stems, or ₹/crate</x:v>
      </x:c>
      <x:c r="J206" s="31" t="str">
        <x:v>Stem/bunch count is market-specific; marigold/chrysanthemum often kg, cut flowers often stem/bunch</x:v>
      </x:c>
      <x:c r="K206" s="31" t="str">
        <x:v>Keep the raw quote unit. For loose flowers use ₹/kg. For cut flowers normalize to ₹/stem or ₹/100 stems; only convert to kg if weighed sample is available.</x:v>
      </x:c>
      <x:c r="L206" s="31" t="str">
        <x:v>₹/kg or ₹/stem</x:v>
      </x:c>
    </x:row>
    <x:row r="207" ht="74" customHeight="1">
      <x:c r="A207" s="14" t="str">
        <x:v>P0206</x:v>
      </x:c>
      <x:c r="B207" s="14" t="str">
        <x:v>MISC / MARKET COMMODITIES</x:v>
      </x:c>
      <x:c r="C207" s="14" t="str">
        <x:v>Magahi Paan Leaf</x:v>
      </x:c>
      <x:c r="D207" s="14" t="str">
        <x:v>मगही पान पत्ता</x:v>
      </x:c>
      <x:c r="E207" s="14" t="str">
        <x:v>magahi paan patta, magahi paan</x:v>
      </x:c>
      <x:c r="F207" s="14" t="str">
        <x:v>Known varieties/types: Banarasi, Magahi, Desawari, Calcutta, Sanchi, Bangla paan leaf types</x:v>
      </x:c>
      <x:c r="G207" s="14" t="str">
        <x:v>Uttar Pradesh: Varanasi/Banaras; Bihar: Magadh/Gaya-Nalanda; West Bengal: Midnapore, Howrah; Odisha: Cuttack/Puri; Assam/North East and Tamil Nadu betel-vine belts</x:v>
      </x:c>
      <x:c r="H207" s="31" t="str">
        <x:v>Leaf bundles/gaddis in bamboo basket, crate or moist-lined carton</x:v>
      </x:c>
      <x:c r="I207" s="31" t="str">
        <x:v>₹/100 leaves, ₹/1,000 leaves, ₹/bundle/gaddi, or ₹/basket</x:v>
      </x:c>
      <x:c r="J207" s="31" t="str">
        <x:v>Bundle count varies by mandi; always capture leaves per bundle or basket count</x:v>
      </x:c>
      <x:c r="K207" s="31" t="str">
        <x:v>Value by count first: total value = bundle count × bundle rate. If comparing across markets, normalize to ₹/100 leaves after capturing leaf count.</x:v>
      </x:c>
      <x:c r="L207" s="31" t="str">
        <x:v>₹/100 leaves</x:v>
      </x:c>
    </x:row>
    <x:row r="208" ht="74" customHeight="1">
      <x:c r="A208" s="14" t="str">
        <x:v>P0207</x:v>
      </x:c>
      <x:c r="B208" s="14" t="str">
        <x:v>MISC / MARKET COMMODITIES</x:v>
      </x:c>
      <x:c r="C208" s="14" t="str">
        <x:v>Mahua Flower</x:v>
      </x:c>
      <x:c r="D208" s="14" t="str">
        <x:v>महुआ फूल</x:v>
      </x:c>
      <x:c r="E208" s="14" t="str">
        <x:v>mahua phool, mahua flower</x:v>
      </x:c>
      <x:c r="F208" s="14" t="str">
        <x:v>Known varieties/types: local mahua forest populations; flowers and seeds traded by grade, not cultivar</x:v>
      </x:c>
      <x:c r="G208" s="14" t="str">
        <x:v>Madhya Pradesh: Mandla, Balaghat, Chhindwara; Chhattisgarh: Bastar, Kanker; Odisha: Koraput, Mayurbhanj; Jharkhand: Ranchi, Gumla; Maharashtra tribal belts</x:v>
      </x:c>
      <x:c r="H208" s="31" t="str">
        <x:v>Jute/HDPE sack, carton, or crate depending on moisture and grade</x:v>
      </x:c>
      <x:c r="I208" s="31" t="str">
        <x:v>₹/kg, ₹/quintal, ₹/bag, ₹/carton, or lot rate</x:v>
      </x:c>
      <x:c r="J208" s="31" t="str">
        <x:v>Most dry/semi-dry lots use 25-50 kg bags; fresh/semi-fresh lots may use crates</x:v>
      </x:c>
      <x:c r="K208" s="31" t="str">
        <x:v>Normalize by net weight. ₹/kg = lot price ÷ net kg; ₹/quintal = ₹/kg × 100. Capture moisture/grade where relevant.</x:v>
      </x:c>
      <x:c r="L208" s="31" t="str">
        <x:v>₹/kg or ₹/quintal</x:v>
      </x:c>
    </x:row>
    <x:row r="209" ht="74" customHeight="1">
      <x:c r="A209" s="14" t="str">
        <x:v>P0208</x:v>
      </x:c>
      <x:c r="B209" s="14" t="str">
        <x:v>MISC / MARKET COMMODITIES</x:v>
      </x:c>
      <x:c r="C209" s="14" t="str">
        <x:v>Mahua Seed</x:v>
      </x:c>
      <x:c r="D209" s="14" t="str">
        <x:v>महुआ बीज</x:v>
      </x:c>
      <x:c r="E209" s="14" t="str">
        <x:v>mahua beej, mahua seed</x:v>
      </x:c>
      <x:c r="F209" s="14" t="str">
        <x:v>Known varieties/types: local mahua forest populations; flowers and seeds traded by grade, not cultivar</x:v>
      </x:c>
      <x:c r="G209" s="14" t="str">
        <x:v>Madhya Pradesh: Mandla, Balaghat, Chhindwara; Chhattisgarh: Bastar, Kanker; Odisha: Koraput, Mayurbhanj; Jharkhand: Ranchi, Gumla; Maharashtra tribal belts</x:v>
      </x:c>
      <x:c r="H209" s="31" t="str">
        <x:v>Jute/HDPE sack, carton, or crate depending on moisture and grade</x:v>
      </x:c>
      <x:c r="I209" s="31" t="str">
        <x:v>₹/kg, ₹/quintal, ₹/bag, ₹/carton, or lot rate</x:v>
      </x:c>
      <x:c r="J209" s="31" t="str">
        <x:v>Most dry/semi-dry lots use 25-50 kg bags; fresh/semi-fresh lots may use crates</x:v>
      </x:c>
      <x:c r="K209" s="31" t="str">
        <x:v>Normalize by net weight. ₹/kg = lot price ÷ net kg; ₹/quintal = ₹/kg × 100. Capture moisture/grade where relevant.</x:v>
      </x:c>
      <x:c r="L209" s="31" t="str">
        <x:v>₹/kg or ₹/quintal</x:v>
      </x:c>
    </x:row>
    <x:row r="210" ht="74" customHeight="1">
      <x:c r="A210" s="14" t="str">
        <x:v>P0209</x:v>
      </x:c>
      <x:c r="B210" s="14" t="str">
        <x:v>MISC / MARKET COMMODITIES</x:v>
      </x:c>
      <x:c r="C210" s="14" t="str">
        <x:v>Makhana Seed</x:v>
      </x:c>
      <x:c r="D210" s="14" t="str">
        <x:v>मखाना बीज</x:v>
      </x:c>
      <x:c r="E210" s="14" t="str">
        <x:v>makhana beej, fox nut seed, makhana seed</x:v>
      </x:c>
      <x:c r="F210" s="14" t="str">
        <x:v>Known varieties/types: Sabour Makhana-1, Swarna Vaidehi, local Mithila makhana types; raw and popped grades</x:v>
      </x:c>
      <x:c r="G210" s="14" t="str">
        <x:v>Bihar: Darbhanga, Madhubani, Purnea, Katihar, Saharsa, Supaul; Mithila wetland belt is the core; also limited North Bengal/Assam wetlands</x:v>
      </x:c>
      <x:c r="H210" s="31" t="str">
        <x:v>Carton, tin, vacuum pouch inside carton, or HDPE/jute sack for bulk lots</x:v>
      </x:c>
      <x:c r="I210" s="31" t="str">
        <x:v>₹/kg, ₹/carton, or ₹/bag</x:v>
      </x:c>
      <x:c r="J210" s="31" t="str">
        <x:v>Dry fruit/nut cartons commonly 5-25 kg; raw nut bags may be 25-50 kg</x:v>
      </x:c>
      <x:c r="K210" s="31" t="str">
        <x:v>Normalize to ₹/kg. If carton/bag quote is given, ₹/kg = pack price ÷ net kg; keep grade/size count separately.</x:v>
      </x:c>
      <x:c r="L210" s="31" t="str">
        <x:v>₹/kg</x:v>
      </x:c>
    </x:row>
    <x:row r="211" ht="74" customHeight="1">
      <x:c r="A211" s="14" t="str">
        <x:v>P0210</x:v>
      </x:c>
      <x:c r="B211" s="14" t="str">
        <x:v>MISC / MARKET COMMODITIES</x:v>
      </x:c>
      <x:c r="C211" s="14" t="str">
        <x:v>Marigold</x:v>
      </x:c>
      <x:c r="D211" s="14" t="str">
        <x:v>गेंदा फूल</x:v>
      </x:c>
      <x:c r="E211" s="14" t="str">
        <x:v>genda phool, marigold flower</x:v>
      </x:c>
      <x:c r="F211" s="14" t="str">
        <x:v>Known varieties/types: African marigold, French marigold, Pusa Narangi Gainda, Pusa Basanti Gainda</x:v>
      </x:c>
      <x:c r="G211" s="14" t="str">
        <x:v>Karnataka: Bengaluru Rural, Kolar; Tamil Nadu: Krishnagiri, Dharmapuri; Maharashtra: Pune, Nashik; West Bengal: Nadia; Delhi/NCR: Ghaziabad/Sonipat; Rajasthan/UP flower belts</x:v>
      </x:c>
      <x:c r="H211" s="31" t="str">
        <x:v>Bunches/stems in plastic crate, corrugated carton, or loose flower sack/basket</x:v>
      </x:c>
      <x:c r="I211" s="31" t="str">
        <x:v>₹/kg, ₹/bunch, ₹/100 stems, or ₹/crate</x:v>
      </x:c>
      <x:c r="J211" s="31" t="str">
        <x:v>Stem/bunch count is market-specific; marigold/chrysanthemum often kg, cut flowers often stem/bunch</x:v>
      </x:c>
      <x:c r="K211" s="31" t="str">
        <x:v>Keep the raw quote unit. For loose flowers use ₹/kg. For cut flowers normalize to ₹/stem or ₹/100 stems; only convert to kg if weighed sample is available.</x:v>
      </x:c>
      <x:c r="L211" s="31" t="str">
        <x:v>₹/kg or ₹/stem</x:v>
      </x:c>
    </x:row>
    <x:row r="212" ht="74" customHeight="1">
      <x:c r="A212" s="14" t="str">
        <x:v>P0211</x:v>
      </x:c>
      <x:c r="B212" s="14" t="str">
        <x:v>MISC / MARKET COMMODITIES</x:v>
      </x:c>
      <x:c r="C212" s="14" t="str">
        <x:v>Mentha Oil</x:v>
      </x:c>
      <x:c r="D212" s="14" t="str">
        <x:v>मेंथा तेल</x:v>
      </x:c>
      <x:c r="E212" s="14" t="str">
        <x:v>mentha tel, mint oil, mentha oil</x:v>
      </x:c>
      <x:c r="F212" s="14" t="str">
        <x:v>Known varieties/types: Kosi, Himalaya, Kushal, Shivalik, mentha/mint sprigs market types</x:v>
      </x:c>
      <x:c r="G212" s="14" t="str">
        <x:v>Uttar Pradesh: Barabanki, Sitapur, Badaun, Moradabad; Punjab/Haryana pockets; fresh mint around Delhi NCR, Pune, Bengaluru and Hyderabad peri-urban belts</x:v>
      </x:c>
      <x:c r="H212" s="31" t="str">
        <x:v>Tin/can, HDPE drum or food-grade barrel; packed/carton bottles for retail-facing oil/honey lots</x:v>
      </x:c>
      <x:c r="I212" s="31" t="str">
        <x:v>₹/kg, ₹/litre, ₹/tin, ₹/drum, or ₹/quintal depending on market</x:v>
      </x:c>
      <x:c r="J212" s="31" t="str">
        <x:v>Common trade packs: 15 kg/15 L tin, 25-50 kg can, or larger drums; capture actual net weight/litre</x:v>
      </x:c>
      <x:c r="K212" s="31" t="str">
        <x:v>If quoted per tin/drum: normalized ₹/kg = lot price ÷ net kg. If quoted per litre, keep litre and convert only when density is known. For DCA-style wholesale, oils may appear as ₹/quintal.</x:v>
      </x:c>
      <x:c r="L212" s="31" t="str">
        <x:v>₹/kg or ₹/litre</x:v>
      </x:c>
    </x:row>
    <x:row r="213" ht="74" customHeight="1">
      <x:c r="A213" s="14" t="str">
        <x:v>P0212</x:v>
      </x:c>
      <x:c r="B213" s="14" t="str">
        <x:v>MISC / MARKET COMMODITIES</x:v>
      </x:c>
      <x:c r="C213" s="14" t="str">
        <x:v>Mustard Oil</x:v>
      </x:c>
      <x:c r="D213" s="14" t="str">
        <x:v>सरसों तेल</x:v>
      </x:c>
      <x:c r="E213" s="14" t="str">
        <x:v>sarson tel, mustard oil</x:v>
      </x:c>
      <x:c r="F213" s="14" t="str">
        <x:v>Known varieties/types: Pusa Bold, Pusa Mustard-25/26/30, Varuna, Rohini, RH-749, yellow sarson and brown rai types</x:v>
      </x:c>
      <x:c r="G213" s="14" t="str">
        <x:v>Base crop area (mustard): Rajasthan: Bharatpur, Alwar, Jaipur, Sikar, Ganganagar, Hanumangarh; Haryana: Hisar, Bhiwani, Sirsa, Mahendragarh; Uttar Pradesh: Agra, Mathura, Aligarh, Kanpur; Madhya Pradesh: Morena, Bhind, Gwalior; Gujarat: Banaskantha, Mehsana</x:v>
      </x:c>
      <x:c r="H213" s="31" t="str">
        <x:v>Tin/can, HDPE drum or food-grade barrel; packed/carton bottles for retail-facing oil/honey lots</x:v>
      </x:c>
      <x:c r="I213" s="31" t="str">
        <x:v>₹/kg, ₹/litre, ₹/tin, ₹/drum, or ₹/quintal depending on market</x:v>
      </x:c>
      <x:c r="J213" s="31" t="str">
        <x:v>Common trade packs: 15 kg/15 L tin, 25-50 kg can, or larger drums; capture actual net weight/litre</x:v>
      </x:c>
      <x:c r="K213" s="31" t="str">
        <x:v>If quoted per tin/drum: normalized ₹/kg = lot price ÷ net kg. If quoted per litre, keep litre and convert only when density is known. For DCA-style wholesale, oils may appear as ₹/quintal.</x:v>
      </x:c>
      <x:c r="L213" s="31" t="str">
        <x:v>₹/kg or ₹/litre</x:v>
      </x:c>
    </x:row>
    <x:row r="214" ht="74" customHeight="1">
      <x:c r="A214" s="14" t="str">
        <x:v>P0213</x:v>
      </x:c>
      <x:c r="B214" s="14" t="str">
        <x:v>MISC / MARKET COMMODITIES</x:v>
      </x:c>
      <x:c r="C214" s="14" t="str">
        <x:v>Nutmeg Whole</x:v>
      </x:c>
      <x:c r="D214" s="14" t="str">
        <x:v>जायफल</x:v>
      </x:c>
      <x:c r="E214" s="14" t="str">
        <x:v>jaiphal, nutmeg</x:v>
      </x:c>
      <x:c r="F214" s="14" t="str">
        <x:v>Known varieties/types: Vishwashree, Konkan Sugandha, local nutmeg selections; mace/nutmeg grades</x:v>
      </x:c>
      <x:c r="G214" s="14" t="str">
        <x:v>Kerala: Idukki, Thrissur, Ernakulam; Tamil Nadu: Nilgiris, Kanyakumari; Karnataka: Kodagu; Goa and North East spice gardens</x:v>
      </x:c>
      <x:c r="H214" s="31" t="str">
        <x:v>Jute/HDPE sack, carton, or crate depending on moisture and grade</x:v>
      </x:c>
      <x:c r="I214" s="31" t="str">
        <x:v>₹/kg, ₹/quintal, ₹/bag, ₹/carton, or lot rate</x:v>
      </x:c>
      <x:c r="J214" s="31" t="str">
        <x:v>Most dry/semi-dry lots use 25-50 kg bags; fresh/semi-fresh lots may use crates</x:v>
      </x:c>
      <x:c r="K214" s="31" t="str">
        <x:v>Normalize by net weight. ₹/kg = lot price ÷ net kg; ₹/quintal = ₹/kg × 100. Capture moisture/grade where relevant.</x:v>
      </x:c>
      <x:c r="L214" s="31" t="str">
        <x:v>₹/kg or ₹/quintal</x:v>
      </x:c>
    </x:row>
    <x:row r="215" ht="74" customHeight="1">
      <x:c r="A215" s="14" t="str">
        <x:v>P0214</x:v>
      </x:c>
      <x:c r="B215" s="14" t="str">
        <x:v>MISC / MARKET COMMODITIES</x:v>
      </x:c>
      <x:c r="C215" s="14" t="str">
        <x:v>Persimmon</x:v>
      </x:c>
      <x:c r="D215" s="14" t="str">
        <x:v>पर्सिमन / अमरफल</x:v>
      </x:c>
      <x:c r="E215" s="14" t="str">
        <x:v>persimmon / amarphal, persimmon</x:v>
      </x:c>
      <x:c r="F215" s="14" t="str">
        <x:v>Known varieties/types: Hachiya, Fuyu/Jiro-type, local hill persimmon selections</x:v>
      </x:c>
      <x:c r="G215" s="14" t="str">
        <x:v>Himachal Pradesh: Kullu, Shimla, Solan; Uttarakhand: Nainital, Almora; Jammu &amp; Kashmir/Kashmir Valley; North East hill pockets</x:v>
      </x:c>
      <x:c r="H215" s="31" t="str">
        <x:v>Commodity-specific wholesale lot: sack, carton, crate, bundle, bale, drum, or loose lot</x:v>
      </x:c>
      <x:c r="I215" s="31" t="str">
        <x:v>₹/kg, ₹/quintal, ₹/piece, ₹/bundle, or lot rate</x:v>
      </x:c>
      <x:c r="J215" s="31" t="str">
        <x:v>Capture actual net weight/count because this category is mixed</x:v>
      </x:c>
      <x:c r="K215" s="31" t="str">
        <x:v>Preserve raw quote unit, then normalize to ₹/kg for weight lots or ₹/piece for count lots. Avoid guessing pack weight.</x:v>
      </x:c>
      <x:c r="L215" s="31" t="str">
        <x:v>₹/kg or raw unit</x:v>
      </x:c>
    </x:row>
    <x:row r="216" ht="74" customHeight="1">
      <x:c r="A216" s="14" t="str">
        <x:v>P0215</x:v>
      </x:c>
      <x:c r="B216" s="14" t="str">
        <x:v>MISC / MARKET COMMODITIES</x:v>
      </x:c>
      <x:c r="C216" s="14" t="str">
        <x:v>Pinenut</x:v>
      </x:c>
      <x:c r="D216" s="14" t="str">
        <x:v>चिलगोजा</x:v>
      </x:c>
      <x:c r="E216" s="14" t="str">
        <x:v>chilgoza, pine nut</x:v>
      </x:c>
      <x:c r="F216" s="14" t="str">
        <x:v>Known varieties/types: chilgoza pine nut; forest/tribal harvest, not cultivar-specific</x:v>
      </x:c>
      <x:c r="G216" s="14" t="str">
        <x:v>Himachal Pradesh: Kinnaur; Jammu &amp; Kashmir/Ladakh high Himalayan chilgoza belts; traded via North Indian dry-fruit markets</x:v>
      </x:c>
      <x:c r="H216" s="31" t="str">
        <x:v>Carton, tin, vacuum pouch inside carton, or HDPE/jute sack for bulk lots</x:v>
      </x:c>
      <x:c r="I216" s="31" t="str">
        <x:v>₹/kg, ₹/carton, or ₹/bag</x:v>
      </x:c>
      <x:c r="J216" s="31" t="str">
        <x:v>Dry fruit/nut cartons commonly 5-25 kg; raw nut bags may be 25-50 kg</x:v>
      </x:c>
      <x:c r="K216" s="31" t="str">
        <x:v>Normalize to ₹/kg. If carton/bag quote is given, ₹/kg = pack price ÷ net kg; keep grade/size count separately.</x:v>
      </x:c>
      <x:c r="L216" s="31" t="str">
        <x:v>₹/kg</x:v>
      </x:c>
    </x:row>
    <x:row r="217" ht="74" customHeight="1">
      <x:c r="A217" s="14" t="str">
        <x:v>P0216</x:v>
      </x:c>
      <x:c r="B217" s="14" t="str">
        <x:v>MISC / MARKET COMMODITIES</x:v>
      </x:c>
      <x:c r="C217" s="14" t="str">
        <x:v>Popped Makhana</x:v>
      </x:c>
      <x:c r="D217" s="14" t="str">
        <x:v>फूला मखाना</x:v>
      </x:c>
      <x:c r="E217" s="14" t="str">
        <x:v>phoola makhana, popped makhana, fox nut</x:v>
      </x:c>
      <x:c r="F217" s="14" t="str">
        <x:v>Known varieties/types: Sabour Makhana-1, Swarna Vaidehi, local Mithila makhana types; raw and popped grades</x:v>
      </x:c>
      <x:c r="G217" s="14" t="str">
        <x:v>Base crop area (makhana): Bihar: Darbhanga, Madhubani, Purnea, Katihar, Saharsa, Supaul; Mithila wetland belt is the core; also limited North Bengal/Assam wetlands</x:v>
      </x:c>
      <x:c r="H217" s="31" t="str">
        <x:v>Carton, tin, vacuum pouch inside carton, or HDPE/jute sack for bulk lots</x:v>
      </x:c>
      <x:c r="I217" s="31" t="str">
        <x:v>₹/kg, ₹/carton, or ₹/bag</x:v>
      </x:c>
      <x:c r="J217" s="31" t="str">
        <x:v>Dry fruit/nut cartons commonly 5-25 kg; raw nut bags may be 25-50 kg</x:v>
      </x:c>
      <x:c r="K217" s="31" t="str">
        <x:v>Normalize to ₹/kg. If carton/bag quote is given, ₹/kg = pack price ÷ net kg; keep grade/size count separately.</x:v>
      </x:c>
      <x:c r="L217" s="31" t="str">
        <x:v>₹/kg</x:v>
      </x:c>
    </x:row>
    <x:row r="218" ht="74" customHeight="1">
      <x:c r="A218" s="14" t="str">
        <x:v>P0217</x:v>
      </x:c>
      <x:c r="B218" s="14" t="str">
        <x:v>MISC / MARKET COMMODITIES</x:v>
      </x:c>
      <x:c r="C218" s="14" t="str">
        <x:v>Raisins</x:v>
      </x:c>
      <x:c r="D218" s="14" t="str">
        <x:v>किशमिश</x:v>
      </x:c>
      <x:c r="E218" s="14" t="str">
        <x:v>kishmish, raisins</x:v>
      </x:c>
      <x:c r="F218" s="14" t="str">
        <x:v>Known varieties/types: Pusa Bold, Pusa Mustard-25/26/30, Varuna, Rohini, RH-749, yellow sarson and brown rai types</x:v>
      </x:c>
      <x:c r="G218" s="14" t="str">
        <x:v>Base crop area (mustard): Rajasthan: Bharatpur, Alwar, Jaipur, Sikar, Ganganagar, Hanumangarh; Haryana: Hisar, Bhiwani, Sirsa, Mahendragarh; Uttar Pradesh: Agra, Mathura, Aligarh, Kanpur; Madhya Pradesh: Morena, Bhind, Gwalior; Gujarat: Banaskantha, Mehsana</x:v>
      </x:c>
      <x:c r="H218" s="31" t="str">
        <x:v>Carton, tin, vacuum pouch inside carton, or HDPE/jute sack for bulk lots</x:v>
      </x:c>
      <x:c r="I218" s="31" t="str">
        <x:v>₹/kg, ₹/carton, or ₹/bag</x:v>
      </x:c>
      <x:c r="J218" s="31" t="str">
        <x:v>Dry fruit/nut cartons commonly 5-25 kg; raw nut bags may be 25-50 kg</x:v>
      </x:c>
      <x:c r="K218" s="31" t="str">
        <x:v>Normalize to ₹/kg. If carton/bag quote is given, ₹/kg = pack price ÷ net kg; keep grade/size count separately.</x:v>
      </x:c>
      <x:c r="L218" s="31" t="str">
        <x:v>₹/kg</x:v>
      </x:c>
    </x:row>
    <x:row r="219" ht="74" customHeight="1">
      <x:c r="A219" s="14" t="str">
        <x:v>P0218</x:v>
      </x:c>
      <x:c r="B219" s="14" t="str">
        <x:v>MISC / MARKET COMMODITIES</x:v>
      </x:c>
      <x:c r="C219" s="14" t="str">
        <x:v>Raw Arrowroot Powder</x:v>
      </x:c>
      <x:c r="D219" s="14" t="str">
        <x:v>कच्चा अरारोट पाउडर</x:v>
      </x:c>
      <x:c r="E219" s="14" t="str">
        <x:v>kaccha ararot powder, raw arrowroot powder</x:v>
      </x:c>
      <x:c r="F219" s="14" t="str">
        <x:v>Known varieties/types: local arrowroot/tikhur types; cultivar names not common in mandi trade</x:v>
      </x:c>
      <x:c r="G219" s="14" t="str">
        <x:v>Kerala, Tamil Nadu, Odisha, West Bengal and North East tuber/starch belts; raw arrowroot/tikhur pockets in Chhattisgarh and Odisha tribal areas</x:v>
      </x:c>
      <x:c r="H219" s="31" t="str">
        <x:v>Commodity-specific wholesale lot: sack, carton, crate, bundle, bale, drum, or loose lot</x:v>
      </x:c>
      <x:c r="I219" s="31" t="str">
        <x:v>₹/kg, ₹/quintal, ₹/piece, ₹/bundle, or lot rate</x:v>
      </x:c>
      <x:c r="J219" s="31" t="str">
        <x:v>Capture actual net weight/count because this category is mixed</x:v>
      </x:c>
      <x:c r="K219" s="31" t="str">
        <x:v>Preserve raw quote unit, then normalize to ₹/kg for weight lots or ₹/piece for count lots. Avoid guessing pack weight.</x:v>
      </x:c>
      <x:c r="L219" s="31" t="str">
        <x:v>₹/kg or raw unit</x:v>
      </x:c>
    </x:row>
    <x:row r="220" ht="74" customHeight="1">
      <x:c r="A220" s="14" t="str">
        <x:v>P0219</x:v>
      </x:c>
      <x:c r="B220" s="14" t="str">
        <x:v>MISC / MARKET COMMODITIES</x:v>
      </x:c>
      <x:c r="C220" s="14" t="str">
        <x:v>Raw Cashew Nut</x:v>
      </x:c>
      <x:c r="D220" s="14" t="str">
        <x:v>कच्चा काजू</x:v>
      </x:c>
      <x:c r="E220" s="14" t="str">
        <x:v>kaccha kaju, raw cashew nut</x:v>
      </x:c>
      <x:c r="F220" s="14" t="str">
        <x:v>Known varieties/types: Vengurla-4/7, BPP-8, Ullal series, Goa local, bold cashew kernel grades W180/W240/W320</x:v>
      </x:c>
      <x:c r="G220" s="14" t="str">
        <x:v>Maharashtra: Ratnagiri, Sindhudurg; Goa; Karnataka: Dakshina Kannada, Udupi; Kerala: Kollam, Kasaragod; Odisha: Ganjam; Andhra: East/West Godavari</x:v>
      </x:c>
      <x:c r="H220" s="31" t="str">
        <x:v>Carton, tin, vacuum pouch inside carton, or HDPE/jute sack for bulk lots</x:v>
      </x:c>
      <x:c r="I220" s="31" t="str">
        <x:v>₹/kg, ₹/carton, or ₹/bag</x:v>
      </x:c>
      <x:c r="J220" s="31" t="str">
        <x:v>Dry fruit/nut cartons commonly 5-25 kg; raw nut bags may be 25-50 kg</x:v>
      </x:c>
      <x:c r="K220" s="31" t="str">
        <x:v>Normalize to ₹/kg. If carton/bag quote is given, ₹/kg = pack price ÷ net kg; keep grade/size count separately.</x:v>
      </x:c>
      <x:c r="L220" s="31" t="str">
        <x:v>₹/kg</x:v>
      </x:c>
    </x:row>
    <x:row r="221" ht="74" customHeight="1">
      <x:c r="A221" s="14" t="str">
        <x:v>P0220</x:v>
      </x:c>
      <x:c r="B221" s="14" t="str">
        <x:v>MISC / MARKET COMMODITIES</x:v>
      </x:c>
      <x:c r="C221" s="14" t="str">
        <x:v>Raw Coffee Beans</x:v>
      </x:c>
      <x:c r="D221" s="14" t="str">
        <x:v>कच्चे कॉफी बीन्स</x:v>
      </x:c>
      <x:c r="E221" s="14" t="str">
        <x:v>kacche coffee beans, raw coffee beans</x:v>
      </x:c>
      <x:c r="F221" s="14" t="str">
        <x:v>Known varieties/types: Arabica, Robusta, S.795, Cauvery/Catimor, Chandragiri, Selection series</x:v>
      </x:c>
      <x:c r="G221" s="14" t="str">
        <x:v>Karnataka: Chikkamagaluru, Kodagu, Hassan; Kerala: Wayanad, Idukki; Tamil Nadu: Nilgiris, Yercaud/Salem; Andhra Pradesh: Araku/Alluri Sitharama Raju; North East niche coffee pockets</x:v>
      </x:c>
      <x:c r="H221" s="31" t="str">
        <x:v>Jute bag, HDPE sack, chest/carton, or bulk lot</x:v>
      </x:c>
      <x:c r="I221" s="31" t="str">
        <x:v>₹/kg, ₹/quintal, or ₹/bag</x:v>
      </x:c>
      <x:c r="J221" s="31" t="str">
        <x:v>Common bags/chests 25-60 kg depending on commodity; capture actual net weight</x:v>
      </x:c>
      <x:c r="K221" s="31" t="str">
        <x:v>Normalize to ₹/kg for quality-sensitive lots. If ₹/quintal is quoted, ₹/kg = rate ÷ 100.</x:v>
      </x:c>
      <x:c r="L221" s="31" t="str">
        <x:v>₹/kg</x:v>
      </x:c>
    </x:row>
    <x:row r="222" ht="74" customHeight="1">
      <x:c r="A222" s="14" t="str">
        <x:v>P0221</x:v>
      </x:c>
      <x:c r="B222" s="14" t="str">
        <x:v>MISC / MARKET COMMODITIES</x:v>
      </x:c>
      <x:c r="C222" s="14" t="str">
        <x:v>Raw Honey</x:v>
      </x:c>
      <x:c r="D222" s="14" t="str">
        <x:v>कच्चा शहद</x:v>
      </x:c>
      <x:c r="E222" s="14" t="str">
        <x:v>kaccha shahad, raw honey</x:v>
      </x:c>
      <x:c r="F222" s="14" t="str">
        <x:v>Known varieties/types: mustard honey, eucalyptus, litchi, ajwain, wild forest, multiflora, acacia, jamun honey</x:v>
      </x:c>
      <x:c r="G222" s="14" t="str">
        <x:v>Multi-floral/bee belts across India; commercial clusters in Uttar Pradesh/Barabanki-Sitapur, Bihar/Muzaffarpur, Punjab/Haryana mustard belts, Rajasthan, Uttarakhand/Himachal hills, West Bengal/Sundarbans and Maharashtra</x:v>
      </x:c>
      <x:c r="H222" s="31" t="str">
        <x:v>Tin/can, HDPE drum or food-grade barrel; packed/carton bottles for retail-facing oil/honey lots</x:v>
      </x:c>
      <x:c r="I222" s="31" t="str">
        <x:v>₹/kg, ₹/litre, ₹/tin, ₹/drum, or ₹/quintal depending on market</x:v>
      </x:c>
      <x:c r="J222" s="31" t="str">
        <x:v>Common trade packs: 15 kg/15 L tin, 25-50 kg can, or larger drums; capture actual net weight/litre</x:v>
      </x:c>
      <x:c r="K222" s="31" t="str">
        <x:v>If quoted per tin/drum: normalized ₹/kg = lot price ÷ net kg. If quoted per litre, keep litre and convert only when density is known. For DCA-style wholesale, oils may appear as ₹/quintal.</x:v>
      </x:c>
      <x:c r="L222" s="31" t="str">
        <x:v>₹/kg or ₹/litre</x:v>
      </x:c>
    </x:row>
    <x:row r="223" ht="74" customHeight="1">
      <x:c r="A223" s="14" t="str">
        <x:v>P0222</x:v>
      </x:c>
      <x:c r="B223" s="14" t="str">
        <x:v>MISC / MARKET COMMODITIES</x:v>
      </x:c>
      <x:c r="C223" s="14" t="str">
        <x:v>Raw Jute</x:v>
      </x:c>
      <x:c r="D223" s="14" t="str">
        <x:v>कच्चा जूट</x:v>
      </x:c>
      <x:c r="E223" s="14" t="str">
        <x:v>kaccha jute, raw jute</x:v>
      </x:c>
      <x:c r="F223" s="14" t="str">
        <x:v>Known varieties/types: JRO-524, JRO-204, JBO-2003H, tossa and white jute types</x:v>
      </x:c>
      <x:c r="G223" s="14" t="str">
        <x:v>West Bengal: Nadia, Murshidabad, North 24 Parganas, Cooch Behar; Bihar: Purnea, Katihar; Assam: Nagaon, Barpeta; Odisha and Tripura pockets</x:v>
      </x:c>
      <x:c r="H223" s="31" t="str">
        <x:v>Bales, pressed bundles, jute/HDPE sacks, or loose auction lots</x:v>
      </x:c>
      <x:c r="I223" s="31" t="str">
        <x:v>₹/quintal, ₹/kg, ₹/bale, or lot rate</x:v>
      </x:c>
      <x:c r="J223" s="31" t="str">
        <x:v>Bale/bundle weight varies strongly; capture actual weighbridge/net lot weight</x:v>
      </x:c>
      <x:c r="K223" s="31" t="str">
        <x:v>For mandi analysis, normalize by weight: ₹/kg = total lot value ÷ net kg; ₹/quintal = ₹/kg × 100.</x:v>
      </x:c>
      <x:c r="L223" s="31" t="str">
        <x:v>₹/quintal</x:v>
      </x:c>
    </x:row>
    <x:row r="224" ht="74" customHeight="1">
      <x:c r="A224" s="14" t="str">
        <x:v>P0223</x:v>
      </x:c>
      <x:c r="B224" s="14" t="str">
        <x:v>MISC / MARKET COMMODITIES</x:v>
      </x:c>
      <x:c r="C224" s="14" t="str">
        <x:v>Rittha</x:v>
      </x:c>
      <x:c r="D224" s="14" t="str">
        <x:v>रीठा</x:v>
      </x:c>
      <x:c r="E224" s="14" t="str">
        <x:v>reetha, soapnut</x:v>
      </x:c>
      <x:c r="F224" s="14" t="str">
        <x:v>Known varieties/types: soapnut/rittha forest collections; traded by shell/saponin quality</x:v>
      </x:c>
      <x:c r="G224" s="14" t="str">
        <x:v>Himalayan and forest belts: Uttarakhand, Himachal Pradesh, Jammu &amp; Kashmir, North East and Chhattisgarh; wild/forest collection around Dehradun, Kullu, Kashmir, Meghalaya and Bastar</x:v>
      </x:c>
      <x:c r="H224" s="31" t="str">
        <x:v>Jute/HDPE sack, carton, or crate depending on moisture and grade</x:v>
      </x:c>
      <x:c r="I224" s="31" t="str">
        <x:v>₹/kg, ₹/quintal, ₹/bag, ₹/carton, or lot rate</x:v>
      </x:c>
      <x:c r="J224" s="31" t="str">
        <x:v>Most dry/semi-dry lots use 25-50 kg bags; fresh/semi-fresh lots may use crates</x:v>
      </x:c>
      <x:c r="K224" s="31" t="str">
        <x:v>Normalize by net weight. ₹/kg = lot price ÷ net kg; ₹/quintal = ₹/kg × 100. Capture moisture/grade where relevant.</x:v>
      </x:c>
      <x:c r="L224" s="31" t="str">
        <x:v>₹/kg or ₹/quintal</x:v>
      </x:c>
    </x:row>
    <x:row r="225" ht="74" customHeight="1">
      <x:c r="A225" s="14" t="str">
        <x:v>P0224</x:v>
      </x:c>
      <x:c r="B225" s="14" t="str">
        <x:v>MISC / MARKET COMMODITIES</x:v>
      </x:c>
      <x:c r="C225" s="14" t="str">
        <x:v>Rose Cut Flower</x:v>
      </x:c>
      <x:c r="D225" s="14" t="str">
        <x:v>गुलाब फूल</x:v>
      </x:c>
      <x:c r="E225" s="14" t="str">
        <x:v>gulab phool, rose cut flower</x:v>
      </x:c>
      <x:c r="F225" s="14" t="str">
        <x:v>Known varieties/types: Dutch roses, Taj Mahal, Grand Gala, First Red, Avalanche, local desi rose</x:v>
      </x:c>
      <x:c r="G225" s="14" t="str">
        <x:v>Karnataka: Bengaluru/Hosur belt; Maharashtra: Pune/Talegaon; Tamil Nadu: Nilgiris/Hosur; Himachal/Uttarakhand protected belts; Rajasthan Pushkar/desi rose pockets</x:v>
      </x:c>
      <x:c r="H225" s="31" t="str">
        <x:v>Bunches/stems in plastic crate, corrugated carton, or loose flower sack/basket</x:v>
      </x:c>
      <x:c r="I225" s="31" t="str">
        <x:v>₹/kg, ₹/bunch, ₹/100 stems, or ₹/crate</x:v>
      </x:c>
      <x:c r="J225" s="31" t="str">
        <x:v>Stem/bunch count is market-specific; marigold/chrysanthemum often kg, cut flowers often stem/bunch</x:v>
      </x:c>
      <x:c r="K225" s="31" t="str">
        <x:v>Keep the raw quote unit. For loose flowers use ₹/kg. For cut flowers normalize to ₹/stem or ₹/100 stems; only convert to kg if weighed sample is available.</x:v>
      </x:c>
      <x:c r="L225" s="31" t="str">
        <x:v>₹/kg or ₹/stem</x:v>
      </x:c>
    </x:row>
    <x:row r="226" ht="74" customHeight="1">
      <x:c r="A226" s="14" t="str">
        <x:v>P0225</x:v>
      </x:c>
      <x:c r="B226" s="14" t="str">
        <x:v>MISC / MARKET COMMODITIES</x:v>
      </x:c>
      <x:c r="C226" s="14" t="str">
        <x:v>Safed Musli</x:v>
      </x:c>
      <x:c r="D226" s="14" t="str">
        <x:v>सफेद मूसली</x:v>
      </x:c>
      <x:c r="E226" s="14" t="str">
        <x:v>safed musli</x:v>
      </x:c>
      <x:c r="F226" s="14" t="str">
        <x:v>Known varieties/types: local Chlorophytum borivilianum selections; traded by root grade</x:v>
      </x:c>
      <x:c r="G226" s="14" t="str">
        <x:v>Madhya Pradesh: Mandsaur, Neemuch, Ratlam; Rajasthan: Kota, Udaipur; Maharashtra: Pune, Nashik; Gujarat and Chhattisgarh medicinal-plant belts</x:v>
      </x:c>
      <x:c r="H226" s="31" t="str">
        <x:v>Jute/HDPE sack, carton, or crate depending on moisture and grade</x:v>
      </x:c>
      <x:c r="I226" s="31" t="str">
        <x:v>₹/kg, ₹/quintal, ₹/bag, ₹/carton, or lot rate</x:v>
      </x:c>
      <x:c r="J226" s="31" t="str">
        <x:v>Most dry/semi-dry lots use 25-50 kg bags; fresh/semi-fresh lots may use crates</x:v>
      </x:c>
      <x:c r="K226" s="31" t="str">
        <x:v>Normalize by net weight. ₹/kg = lot price ÷ net kg; ₹/quintal = ₹/kg × 100. Capture moisture/grade where relevant.</x:v>
      </x:c>
      <x:c r="L226" s="31" t="str">
        <x:v>₹/kg or ₹/quintal</x:v>
      </x:c>
    </x:row>
    <x:row r="227" ht="74" customHeight="1">
      <x:c r="A227" s="14" t="str">
        <x:v>P0226</x:v>
      </x:c>
      <x:c r="B227" s="14" t="str">
        <x:v>MISC / MARKET COMMODITIES</x:v>
      </x:c>
      <x:c r="C227" s="14" t="str">
        <x:v>Saffron</x:v>
      </x:c>
      <x:c r="D227" s="14" t="str">
        <x:v>केसर</x:v>
      </x:c>
      <x:c r="E227" s="14" t="str">
        <x:v>kesar, saffron</x:v>
      </x:c>
      <x:c r="F227" s="14" t="str">
        <x:v>Known varieties/types: Kashmiri Mongra, Lacha, Guchhi; Pampore saffron grades</x:v>
      </x:c>
      <x:c r="G227" s="14" t="str">
        <x:v>Jammu &amp; Kashmir: Pampore, Pulwama, Budgam, Srinagar; Kishtwar saffron pockets; high-altitude Kashmir saffron belt</x:v>
      </x:c>
      <x:c r="H227" s="31" t="str">
        <x:v>Small sealed tin, pouch, glass jar, or protective carton for high-value lots</x:v>
      </x:c>
      <x:c r="I227" s="31" t="str">
        <x:v>₹/gram, ₹/10g, ₹/kg, or lot rate</x:v>
      </x:c>
      <x:c r="J227" s="31" t="str">
        <x:v>Small packs; capture exact net grams and grade</x:v>
      </x:c>
      <x:c r="K227" s="31" t="str">
        <x:v>Normalize to ₹/gram for buying decisions and ₹/kg only for database comparison: ₹/kg = ₹/gram × 1000.</x:v>
      </x:c>
      <x:c r="L227" s="31" t="str">
        <x:v>₹/gram</x:v>
      </x:c>
    </x:row>
    <x:row r="228" ht="74" customHeight="1">
      <x:c r="A228" s="14" t="str">
        <x:v>P0227</x:v>
      </x:c>
      <x:c r="B228" s="14" t="str">
        <x:v>MISC / MARKET COMMODITIES</x:v>
      </x:c>
      <x:c r="C228" s="14" t="str">
        <x:v>Silk Cocoon</x:v>
      </x:c>
      <x:c r="D228" s="14" t="str">
        <x:v>रेशम कोया</x:v>
      </x:c>
      <x:c r="E228" s="14" t="str">
        <x:v>resham koya, silk cocoon</x:v>
      </x:c>
      <x:c r="F228" s="14" t="str">
        <x:v>Known varieties/types: bivoltine and multivoltine silkworm hybrids; cocoon grade, not plant cultivar</x:v>
      </x:c>
      <x:c r="G228" s="14" t="str">
        <x:v>Karnataka: Ramanagara, Mysuru; Tamil Nadu: Dharmapuri, Erode; West Bengal: Murshidabad; Jammu &amp; Kashmir mulberry silk belts; Assam/Muga and Eri silk belts in Sualkuchi/Kamrup and upper Assam</x:v>
      </x:c>
      <x:c r="H228" s="31" t="str">
        <x:v>Bales, pressed bundles, jute/HDPE sacks, or loose auction lots</x:v>
      </x:c>
      <x:c r="I228" s="31" t="str">
        <x:v>₹/quintal, ₹/kg, ₹/bale, or lot rate</x:v>
      </x:c>
      <x:c r="J228" s="31" t="str">
        <x:v>Bale/bundle weight varies strongly; capture actual weighbridge/net lot weight</x:v>
      </x:c>
      <x:c r="K228" s="31" t="str">
        <x:v>For mandi analysis, normalize by weight: ₹/kg = total lot value ÷ net kg; ₹/quintal = ₹/kg × 100.</x:v>
      </x:c>
      <x:c r="L228" s="31" t="str">
        <x:v>₹/quintal</x:v>
      </x:c>
    </x:row>
    <x:row r="229" ht="74" customHeight="1">
      <x:c r="A229" s="14" t="str">
        <x:v>P0228</x:v>
      </x:c>
      <x:c r="B229" s="14" t="str">
        <x:v>MISC / MARKET COMMODITIES</x:v>
      </x:c>
      <x:c r="C229" s="14" t="str">
        <x:v>Spray Chrysanthemum</x:v>
      </x:c>
      <x:c r="D229" s="14" t="str">
        <x:v>स्प्रे गुलदाउदी</x:v>
      </x:c>
      <x:c r="E229" s="14" t="str">
        <x:v>spray guldavdi, spray chrysanthemum</x:v>
      </x:c>
      <x:c r="F229" s="14" t="str">
        <x:v>Known varieties/types: Standard and spray chrysanthemum, white/yellow/purple pompon types</x:v>
      </x:c>
      <x:c r="G229" s="14" t="str">
        <x:v>Karnataka: Bengaluru Rural, Kolar; Tamil Nadu: Hosur/Krishnagiri, Nilgiris; Maharashtra: Pune; West Bengal: Nadia, Hooghly; Delhi/NCR flower belts</x:v>
      </x:c>
      <x:c r="H229" s="31" t="str">
        <x:v>Bunches/stems in plastic crate, corrugated carton, or loose flower sack/basket</x:v>
      </x:c>
      <x:c r="I229" s="31" t="str">
        <x:v>₹/kg, ₹/bunch, ₹/100 stems, or ₹/crate</x:v>
      </x:c>
      <x:c r="J229" s="31" t="str">
        <x:v>Stem/bunch count is market-specific; marigold/chrysanthemum often kg, cut flowers often stem/bunch</x:v>
      </x:c>
      <x:c r="K229" s="31" t="str">
        <x:v>Keep the raw quote unit. For loose flowers use ₹/kg. For cut flowers normalize to ₹/stem or ₹/100 stems; only convert to kg if weighed sample is available.</x:v>
      </x:c>
      <x:c r="L229" s="31" t="str">
        <x:v>₹/kg or ₹/stem</x:v>
      </x:c>
    </x:row>
    <x:row r="230" ht="74" customHeight="1">
      <x:c r="A230" s="14" t="str">
        <x:v>P0229</x:v>
      </x:c>
      <x:c r="B230" s="14" t="str">
        <x:v>MISC / MARKET COMMODITIES</x:v>
      </x:c>
      <x:c r="C230" s="14" t="str">
        <x:v>Sugarcane</x:v>
      </x:c>
      <x:c r="D230" s="14" t="str">
        <x:v>गन्ना</x:v>
      </x:c>
      <x:c r="E230" s="14" t="str">
        <x:v>ganna, sugarcane</x:v>
      </x:c>
      <x:c r="F230" s="14" t="str">
        <x:v>Known varieties/types: Co-0238, Co-86032, Co-0118, CoM-0265, CoJ-64, early/mid-late cane types</x:v>
      </x:c>
      <x:c r="G230" s="14" t="str">
        <x:v>Uttar Pradesh: Muzaffarnagar, Meerut, Bijnor, Lakhimpur Kheri, Saharanpur; Maharashtra: Kolhapur, Sangli, Pune, Ahmednagar, Solapur; Karnataka: Belagavi, Mandya, Bagalkot; Tamil Nadu: Erode, Coimbatore; Bihar/Punjab/Haryana pockets</x:v>
      </x:c>
      <x:c r="H230" s="31" t="str">
        <x:v>Loose bundles/truck load, tied cane bundles, or weighbridge lot</x:v>
      </x:c>
      <x:c r="I230" s="31" t="str">
        <x:v>₹/quintal, ₹/tonne, ₹/bundle, or lot rate</x:v>
      </x:c>
      <x:c r="J230" s="31" t="str">
        <x:v>Best measured by weighbridge; bundle weight varies heavily</x:v>
      </x:c>
      <x:c r="K230" s="31" t="str">
        <x:v>Use weight-based value. ₹/quintal = total lot value ÷ net kg × 100; ₹/tonne = ₹/kg × 1000.</x:v>
      </x:c>
      <x:c r="L230" s="31" t="str">
        <x:v>₹/quintal or ₹/tonne</x:v>
      </x:c>
    </x:row>
    <x:row r="231" ht="74" customHeight="1">
      <x:c r="A231" s="14" t="str">
        <x:v>P0230</x:v>
      </x:c>
      <x:c r="B231" s="14" t="str">
        <x:v>MISC / MARKET COMMODITIES</x:v>
      </x:c>
      <x:c r="C231" s="14" t="str">
        <x:v>Tamarind</x:v>
      </x:c>
      <x:c r="D231" s="14" t="str">
        <x:v>इमली</x:v>
      </x:c>
      <x:c r="E231" s="14" t="str">
        <x:v>imli, tamarind</x:v>
      </x:c>
      <x:c r="F231" s="14" t="str">
        <x:v>Known varieties/types: PKM-1, Urigam, local sweet/sour tamarind types</x:v>
      </x:c>
      <x:c r="G231" s="14" t="str">
        <x:v>Tamil Nadu: Dharmapuri, Salem, Dindigul; Karnataka: Tumakuru, Chitradurga; Andhra Pradesh/Telangana: Anantapur, Kurnool, Mahabubnagar; Maharashtra/Chhattisgarh forest belts</x:v>
      </x:c>
      <x:c r="H231" s="31" t="str">
        <x:v>Jute/HDPE sack, carton, or crate depending on moisture and grade</x:v>
      </x:c>
      <x:c r="I231" s="31" t="str">
        <x:v>₹/kg, ₹/quintal, ₹/bag, ₹/carton, or lot rate</x:v>
      </x:c>
      <x:c r="J231" s="31" t="str">
        <x:v>Most dry/semi-dry lots use 25-50 kg bags; fresh/semi-fresh lots may use crates</x:v>
      </x:c>
      <x:c r="K231" s="31" t="str">
        <x:v>Normalize by net weight. ₹/kg = lot price ÷ net kg; ₹/quintal = ₹/kg × 100. Capture moisture/grade where relevant.</x:v>
      </x:c>
      <x:c r="L231" s="31" t="str">
        <x:v>₹/kg or ₹/quintal</x:v>
      </x:c>
    </x:row>
    <x:row r="232" ht="74" customHeight="1">
      <x:c r="A232" s="14" t="str">
        <x:v>P0231</x:v>
      </x:c>
      <x:c r="B232" s="14" t="str">
        <x:v>MISC / MARKET COMMODITIES</x:v>
      </x:c>
      <x:c r="C232" s="14" t="str">
        <x:v>Tea</x:v>
      </x:c>
      <x:c r="D232" s="14" t="str">
        <x:v>चाय</x:v>
      </x:c>
      <x:c r="E232" s="14" t="str">
        <x:v>chai, tea</x:v>
      </x:c>
      <x:c r="F232" s="14" t="str">
        <x:v>Known varieties/types: Assamica, China jat, clonal tea, orthodox, CTC, green tea, white tea grades</x:v>
      </x:c>
      <x:c r="G232" s="14" t="str">
        <x:v>Assam: Dibrugarh, Tinsukia, Jorhat; West Bengal: Darjeeling, Jalpaiguri, Dooars; Tamil Nadu: Nilgiris, Coimbatore; Kerala: Idukki, Wayanad; Karnataka: Chikkamagaluru; Tripura tea belts</x:v>
      </x:c>
      <x:c r="H232" s="31" t="str">
        <x:v>Jute bag, HDPE sack, chest/carton, or bulk lot</x:v>
      </x:c>
      <x:c r="I232" s="31" t="str">
        <x:v>₹/kg, ₹/quintal, or ₹/bag</x:v>
      </x:c>
      <x:c r="J232" s="31" t="str">
        <x:v>Common bags/chests 25-60 kg depending on commodity; capture actual net weight</x:v>
      </x:c>
      <x:c r="K232" s="31" t="str">
        <x:v>Normalize to ₹/kg for quality-sensitive lots. If ₹/quintal is quoted, ₹/kg = rate ÷ 100.</x:v>
      </x:c>
      <x:c r="L232" s="31" t="str">
        <x:v>₹/kg</x:v>
      </x:c>
    </x:row>
    <x:row r="233" ht="74" customHeight="1">
      <x:c r="A233" s="14" t="str">
        <x:v>P0232</x:v>
      </x:c>
      <x:c r="B233" s="14" t="str">
        <x:v>MISC / MARKET COMMODITIES</x:v>
      </x:c>
      <x:c r="C233" s="14" t="str">
        <x:v>Tender Coconut</x:v>
      </x:c>
      <x:c r="D233" s="14" t="str">
        <x:v>कच्चा नारियल</x:v>
      </x:c>
      <x:c r="E233" s="14" t="str">
        <x:v>tender nariyal, tender coconut, daab, coconut water coconut</x:v>
      </x:c>
      <x:c r="F233" s="14" t="str">
        <x:v>Known varieties/types: West Coast Tall, East Coast Tall, Tiptur Tall, Chowghat Orange Dwarf, Dwarf x Tall hybrids, tender coconut grades</x:v>
      </x:c>
      <x:c r="G233" s="14" t="str">
        <x:v>Kerala: Kozhikode, Malappuram, Thrissur, Ernakulam; Tamil Nadu: Pollachi/Coimbatore, Thanjavur, Dindigul; Karnataka: Tumakuru, Hassan, Dakshina Kannada; Andhra: East/West Godavari; Maharashtra: Konkan; Odisha/West Bengal coast</x:v>
      </x:c>
      <x:c r="H233" s="31" t="str">
        <x:v>Loose count lots, net sack, crate, or truck lot</x:v>
      </x:c>
      <x:c r="I233" s="31" t="str">
        <x:v>₹/piece, ₹/100 pieces, ₹/bag, or lot rate</x:v>
      </x:c>
      <x:c r="J233" s="31" t="str">
        <x:v>Capture piece count, size grade, and whether trimmed/dehusked</x:v>
      </x:c>
      <x:c r="K233" s="31" t="str">
        <x:v>Value by count first: total value = pieces × piece rate. Convert to ₹/kg only with actual lot weight.</x:v>
      </x:c>
      <x:c r="L233" s="31" t="str">
        <x:v>₹/piece</x:v>
      </x:c>
    </x:row>
    <x:row r="234" ht="74" customHeight="1">
      <x:c r="A234" s="14" t="str">
        <x:v>P0233</x:v>
      </x:c>
      <x:c r="B234" s="14" t="str">
        <x:v>MISC / MARKET COMMODITIES</x:v>
      </x:c>
      <x:c r="C234" s="14" t="str">
        <x:v>Tuberose</x:v>
      </x:c>
      <x:c r="D234" s="14" t="str">
        <x:v>रजनीगंधा</x:v>
      </x:c>
      <x:c r="E234" s="14" t="str">
        <x:v>rajnigandha, tuberose flower</x:v>
      </x:c>
      <x:c r="F234" s="14" t="str">
        <x:v>Known varieties/types: Umran, Gola, Seb, Banarasi Karaka, Kaithali, Mehrun</x:v>
      </x:c>
      <x:c r="G234" s="14" t="str">
        <x:v>Rajasthan: Jaipur, Ajmer, Jodhpur, Barmer; Haryana: Hisar, Bhiwani; Punjab: Abohar, Fazilka; Gujarat: Kutch, Banaskantha; Maharashtra dry belts</x:v>
      </x:c>
      <x:c r="H234" s="31" t="str">
        <x:v>Bunches/stems in plastic crate, corrugated carton, or loose flower sack/basket</x:v>
      </x:c>
      <x:c r="I234" s="31" t="str">
        <x:v>₹/kg, ₹/bunch, ₹/100 stems, or ₹/crate</x:v>
      </x:c>
      <x:c r="J234" s="31" t="str">
        <x:v>Stem/bunch count is market-specific; marigold/chrysanthemum often kg, cut flowers often stem/bunch</x:v>
      </x:c>
      <x:c r="K234" s="31" t="str">
        <x:v>Keep the raw quote unit. For loose flowers use ₹/kg. For cut flowers normalize to ₹/stem or ₹/100 stems; only convert to kg if weighed sample is available.</x:v>
      </x:c>
      <x:c r="L234" s="31" t="str">
        <x:v>₹/kg or ₹/stem</x:v>
      </x:c>
    </x:row>
    <x:row r="235" ht="74" customHeight="1">
      <x:c r="A235" s="14" t="str">
        <x:v>P0234</x:v>
      </x:c>
      <x:c r="B235" s="14" t="str">
        <x:v>MISC / MARKET COMMODITIES</x:v>
      </x:c>
      <x:c r="C235" s="14" t="str">
        <x:v>Tulip</x:v>
      </x:c>
      <x:c r="D235" s="14" t="str">
        <x:v>ट्यूलिप फूल</x:v>
      </x:c>
      <x:c r="E235" s="14" t="str">
        <x:v>tulip phool, tulip flower</x:v>
      </x:c>
      <x:c r="F235" s="14" t="str">
        <x:v>Known varieties/types: imported bulbs; Kashmir tulip cultivars by color/flower class</x:v>
      </x:c>
      <x:c r="G235" s="14" t="str">
        <x:v>Jammu &amp; Kashmir: Srinagar/Tulip Garden and Kashmir Valley protected/open seasonal belts; bulbs often imported; niche hill floriculture</x:v>
      </x:c>
      <x:c r="H235" s="31" t="str">
        <x:v>Bunches/stems in plastic crate, corrugated carton, or loose flower sack/basket</x:v>
      </x:c>
      <x:c r="I235" s="31" t="str">
        <x:v>₹/kg, ₹/bunch, ₹/100 stems, or ₹/crate</x:v>
      </x:c>
      <x:c r="J235" s="31" t="str">
        <x:v>Stem/bunch count is market-specific; marigold/chrysanthemum often kg, cut flowers often stem/bunch</x:v>
      </x:c>
      <x:c r="K235" s="31" t="str">
        <x:v>Keep the raw quote unit. For loose flowers use ₹/kg. For cut flowers normalize to ₹/stem or ₹/100 stems; only convert to kg if weighed sample is available.</x:v>
      </x:c>
      <x:c r="L235" s="31" t="str">
        <x:v>₹/kg or ₹/stem</x:v>
      </x:c>
    </x:row>
    <x:row r="236" ht="74" customHeight="1">
      <x:c r="A236" s="14" t="str">
        <x:v>P0235</x:v>
      </x:c>
      <x:c r="B236" s="14" t="str">
        <x:v>MISC / MARKET COMMODITIES</x:v>
      </x:c>
      <x:c r="C236" s="14" t="str">
        <x:v>Virgin Olive Oil</x:v>
      </x:c>
      <x:c r="D236" s="14" t="str">
        <x:v>वर्जिन ऑलिव ऑयल</x:v>
      </x:c>
      <x:c r="E236" s="14" t="str">
        <x:v>virgin olive oil, olive oil</x:v>
      </x:c>
      <x:c r="F236" s="14" t="str">
        <x:v>Known varieties/types: mostly imported olive oil; Rajasthan olive trials include Barnea, Arbequina and Picual-type cultivars</x:v>
      </x:c>
      <x:c r="G236" s="14" t="str">
        <x:v>Mostly imported; domestic olive trials in Rajasthan: Bikaner, Jaisalmer, Jodhpur, Nagaur and Jaipur arid farms; processing/retail arrivals in metros</x:v>
      </x:c>
      <x:c r="H236" s="31" t="str">
        <x:v>Tin/can, HDPE drum or food-grade barrel; packed/carton bottles for retail-facing oil/honey lots</x:v>
      </x:c>
      <x:c r="I236" s="31" t="str">
        <x:v>₹/kg, ₹/litre, ₹/tin, ₹/drum, or ₹/quintal depending on market</x:v>
      </x:c>
      <x:c r="J236" s="31" t="str">
        <x:v>Common trade packs: 15 kg/15 L tin, 25-50 kg can, or larger drums; capture actual net weight/litre</x:v>
      </x:c>
      <x:c r="K236" s="31" t="str">
        <x:v>If quoted per tin/drum: normalized ₹/kg = lot price ÷ net kg. If quoted per litre, keep litre and convert only when density is known. For DCA-style wholesale, oils may appear as ₹/quintal.</x:v>
      </x:c>
      <x:c r="L236" s="31" t="str">
        <x:v>₹/kg or ₹/litre</x:v>
      </x:c>
    </x:row>
    <x:row r="237" ht="74" customHeight="1">
      <x:c r="A237" s="14" t="str">
        <x:v>P0236</x:v>
      </x:c>
      <x:c r="B237" s="14" t="str">
        <x:v>MISC / MARKET COMMODITIES</x:v>
      </x:c>
      <x:c r="C237" s="14" t="str">
        <x:v>Walnut Kernel</x:v>
      </x:c>
      <x:c r="D237" s="14" t="str">
        <x:v>अखरोट गिरी</x:v>
      </x:c>
      <x:c r="E237" s="14" t="str">
        <x:v>akhrot giri, walnut kernel</x:v>
      </x:c>
      <x:c r="F237" s="14" t="str">
        <x:v>Known varieties/types: Kagzi, Katha, Hamdan, Sulaiman, Kashmir seedling and grafted walnut types</x:v>
      </x:c>
      <x:c r="G237" s="14" t="str">
        <x:v>Jammu &amp; Kashmir: Kupwara, Baramulla, Budgam, Anantnag; Himachal: Kullu, Kinnaur, Chamba; Uttarakhand: Pithoragarh, Chamoli; Arunachal/Sikkim niche belts</x:v>
      </x:c>
      <x:c r="H237" s="31" t="str">
        <x:v>Carton, tin, vacuum pouch inside carton, or HDPE/jute sack for bulk lots</x:v>
      </x:c>
      <x:c r="I237" s="31" t="str">
        <x:v>₹/kg, ₹/carton, or ₹/bag</x:v>
      </x:c>
      <x:c r="J237" s="31" t="str">
        <x:v>Dry fruit/nut cartons commonly 5-25 kg; raw nut bags may be 25-50 kg</x:v>
      </x:c>
      <x:c r="K237" s="31" t="str">
        <x:v>Normalize to ₹/kg. If carton/bag quote is given, ₹/kg = pack price ÷ net kg; keep grade/size count separately.</x:v>
      </x:c>
      <x:c r="L237" s="31" t="str">
        <x:v>₹/kg</x:v>
      </x:c>
    </x:row>
    <x:row r="238" ht="74" customHeight="1">
      <x:c r="A238" s="14" t="str">
        <x:v>P0237</x:v>
      </x:c>
      <x:c r="B238" s="14" t="str">
        <x:v>MISC / MARKET COMMODITIES</x:v>
      </x:c>
      <x:c r="C238" s="14" t="str">
        <x:v>Walnuts Inshell</x:v>
      </x:c>
      <x:c r="D238" s="14" t="str">
        <x:v>छिलके वाला अखरोट</x:v>
      </x:c>
      <x:c r="E238" s="14" t="str">
        <x:v>chilke wala akhrot, walnuts in shell</x:v>
      </x:c>
      <x:c r="F238" s="14" t="str">
        <x:v>Known varieties/types: Kagzi, Katha, Hamdan, Sulaiman, Kashmir seedling and grafted walnut types</x:v>
      </x:c>
      <x:c r="G238" s="14" t="str">
        <x:v>Jammu &amp; Kashmir: Kupwara, Baramulla, Budgam, Anantnag; Himachal: Kullu, Kinnaur, Chamba; Uttarakhand: Pithoragarh, Chamoli; Arunachal/Sikkim niche belts</x:v>
      </x:c>
      <x:c r="H238" s="31" t="str">
        <x:v>Carton, tin, vacuum pouch inside carton, or HDPE/jute sack for bulk lots</x:v>
      </x:c>
      <x:c r="I238" s="31" t="str">
        <x:v>₹/kg, ₹/carton, or ₹/bag</x:v>
      </x:c>
      <x:c r="J238" s="31" t="str">
        <x:v>Dry fruit/nut cartons commonly 5-25 kg; raw nut bags may be 25-50 kg</x:v>
      </x:c>
      <x:c r="K238" s="31" t="str">
        <x:v>Normalize to ₹/kg. If carton/bag quote is given, ₹/kg = pack price ÷ net kg; keep grade/size count separately.</x:v>
      </x:c>
      <x:c r="L238" s="31" t="str">
        <x:v>₹/kg</x:v>
      </x:c>
    </x:row>
    <x:row r="239" ht="74" customHeight="1">
      <x:c r="A239" s="14" t="str">
        <x:v>P0238</x:v>
      </x:c>
      <x:c r="B239" s="14" t="str">
        <x:v>MEDICINAL PLANTS</x:v>
      </x:c>
      <x:c r="C239" s="14" t="str">
        <x:v>Ashwagandha Dry Roots</x:v>
      </x:c>
      <x:c r="D239" s="14" t="str">
        <x:v>अश्वगंधा सूखी जड़</x:v>
      </x:c>
      <x:c r="E239" s="14" t="str">
        <x:v>ashwagandha sookhi jad, ashwagandha roots</x:v>
      </x:c>
      <x:c r="F239" s="14" t="str">
        <x:v>Known varieties/types: Jawahar Asgandh-20, Poshita, Nagori ashwagandha, local root grades</x:v>
      </x:c>
      <x:c r="G239" s="14" t="str">
        <x:v>Madhya Pradesh: Neemuch, Mandsaur, Ratlam; Rajasthan: Kota, Jhalawar; Gujarat: Mehsana, Banaskantha; Maharashtra: Pune, Nashik; Uttar Pradesh pockets</x:v>
      </x:c>
      <x:c r="H239" s="31" t="str">
        <x:v>Jute/gunny bag, HDPE sack, carton, or small bale for high-value spices</x:v>
      </x:c>
      <x:c r="I239" s="31" t="str">
        <x:v>₹/kg, ₹/quintal, or ₹/bag</x:v>
      </x:c>
      <x:c r="J239" s="31" t="str">
        <x:v>Typical wholesale sacks 25-50 kg; premium spices may be 5-10 kg cartons</x:v>
      </x:c>
      <x:c r="K239" s="31" t="str">
        <x:v>Normalize to ₹/kg for high-value spices and ₹/quintal for bulk spice seed. If quoted per bag, divide by net kg.</x:v>
      </x:c>
      <x:c r="L239" s="31" t="str">
        <x:v>₹/kg</x:v>
      </x:c>
    </x:row>
    <x:row r="240" ht="74" customHeight="1">
      <x:c r="A240" s="14" t="str">
        <x:v>P0239</x:v>
      </x:c>
      <x:c r="B240" s="14" t="str">
        <x:v>MEDICINAL PLANTS</x:v>
      </x:c>
      <x:c r="C240" s="14" t="str">
        <x:v>Tulsi Dry Leaf</x:v>
      </x:c>
      <x:c r="D240" s="14" t="str">
        <x:v>सूखी तुलसी पत्ती</x:v>
      </x:c>
      <x:c r="E240" s="14" t="str">
        <x:v>sookhi tulsi patti, dry basil leaf, tulsi dry leaf</x:v>
      </x:c>
      <x:c r="F240" s="14" t="str">
        <x:v>Known varieties/types: sweet basil, Thai basil, holy basil/tulsi, Italian basil</x:v>
      </x:c>
      <x:c r="G240" s="14" t="str">
        <x:v>Protected/peri-urban herb belts around Bengaluru, Pune, Delhi NCR, Hyderabad, Mumbai, Goa, Kerala and hill stations; culinary basil and tulsi farms</x:v>
      </x:c>
      <x:c r="H240" s="31" t="str">
        <x:v>Jute/gunny bag, HDPE sack, carton, or small bale for high-value spices</x:v>
      </x:c>
      <x:c r="I240" s="31" t="str">
        <x:v>₹/kg, ₹/quintal, or ₹/bag</x:v>
      </x:c>
      <x:c r="J240" s="31" t="str">
        <x:v>Typical wholesale sacks 25-50 kg; premium spices may be 5-10 kg cartons</x:v>
      </x:c>
      <x:c r="K240" s="31" t="str">
        <x:v>Normalize to ₹/kg for high-value spices and ₹/quintal for bulk spice seed. If quoted per bag, divide by net kg.</x:v>
      </x:c>
      <x:c r="L240" s="31" t="str">
        <x:v>₹/kg</x:v>
      </x:c>
    </x:row>
    <x:row r="241" ht="74" customHeight="1">
      <x:c r="A241" s="14" t="str">
        <x:v>P0240</x:v>
      </x:c>
      <x:c r="B241" s="14" t="str">
        <x:v>SPICES</x:v>
      </x:c>
      <x:c r="C241" s="14" t="str">
        <x:v>Kasuri Methi / Dried Fenugreek Leaves</x:v>
      </x:c>
      <x:c r="D241" s="14" t="str">
        <x:v>कसूरी मेथी</x:v>
      </x:c>
      <x:c r="E241" s="14" t="str">
        <x:v>kasuri methi, dried fenugreek leaves</x:v>
      </x:c>
      <x:c r="F241" s="14" t="str">
        <x:v>Known varieties/types: Kasuri methi, Pusa Early Bunching, RMt types, fresh methi and microgreen types</x:v>
      </x:c>
      <x:c r="G241" s="14" t="str">
        <x:v>Rajasthan: Jaipur, Sikar; Gujarat: Mehsana, Banaskantha; Madhya Pradesh: Indore, Ujjain; Maharashtra: Pune/Nashik; Haryana/Delhi NCR winter leafy-green belts</x:v>
      </x:c>
      <x:c r="H241" s="31" t="str">
        <x:v>Jute/gunny bag, HDPE sack, carton, or small bale for high-value spices</x:v>
      </x:c>
      <x:c r="I241" s="31" t="str">
        <x:v>₹/kg, ₹/quintal, or ₹/bag</x:v>
      </x:c>
      <x:c r="J241" s="31" t="str">
        <x:v>Typical wholesale sacks 25-50 kg; premium spices may be 5-10 kg cartons</x:v>
      </x:c>
      <x:c r="K241" s="31" t="str">
        <x:v>Normalize to ₹/kg for high-value spices and ₹/quintal for bulk spice seed. If quoted per bag, divide by net kg.</x:v>
      </x:c>
      <x:c r="L241" s="31" t="str">
        <x:v>₹/kg</x:v>
      </x:c>
    </x:row>
    <x:row r="242" ht="74" customHeight="1">
      <x:c r="A242" s="14" t="str">
        <x:v>P0241</x:v>
      </x:c>
      <x:c r="B242" s="14" t="str">
        <x:v>PROCESSED GRAINS / FLOURS</x:v>
      </x:c>
      <x:c r="C242" s="14" t="str">
        <x:v>Chickpea Flour / Besan</x:v>
      </x:c>
      <x:c r="D242" s="14" t="str">
        <x:v>बेसन</x:v>
      </x:c>
      <x:c r="E242" s="14" t="str">
        <x:v>besan, chickpea flour, gram flour</x:v>
      </x:c>
      <x:c r="F242" s="14" t="str">
        <x:v>Known varieties/types: JG-11, JAKI-9218, Vijay, Vishal, Pusa-256, Kabuli types, desi/brown chana</x:v>
      </x:c>
      <x:c r="G242" s="14" t="str">
        <x:v>Base crop area (chana): Madhya Pradesh: Sehore, Vidisha, Dewas, Ujjain, Narmadapuram; Rajasthan: Kota, Bundi, Baran, Jaipur, Churu; Maharashtra: Akola, Amravati, Latur; Uttar Pradesh: Banda, Hamirpur, Jhansi; Karnataka: Kalaburagi, Vijayapura; Gujarat: Dahod, Banaskantha</x:v>
      </x:c>
      <x:c r="H242" s="31" t="str">
        <x:v>Jute/gunny bag or HDPE/PP woven sack</x:v>
      </x:c>
      <x:c r="I242" s="31" t="str">
        <x:v>₹/quintal, ₹/kg, or ₹/bag</x:v>
      </x:c>
      <x:c r="J242" s="31" t="str">
        <x:v>Usually 50 kg or 100 kg sacks; dal/flour often 25 kg or 50 kg bags</x:v>
      </x:c>
      <x:c r="K242" s="31" t="str">
        <x:v>Preferred normalized unit is ₹/quintal. If quote is per bag, use net bag weight: ₹/kg = bag price ÷ kg; ₹/quintal = ₹/kg × 100.</x:v>
      </x:c>
      <x:c r="L242" s="31" t="str">
        <x:v>₹/quintal</x:v>
      </x:c>
    </x:row>
    <x:row r="243" ht="74" customHeight="1">
      <x:c r="A243" s="14" t="str">
        <x:v>P0242</x:v>
      </x:c>
      <x:c r="B243" s="14" t="str">
        <x:v>PROCESSED GRAINS / FLOURS</x:v>
      </x:c>
      <x:c r="C243" s="14" t="str">
        <x:v>Roasted Bengal Gram Flour / Chana Sattu</x:v>
      </x:c>
      <x:c r="D243" s="14" t="str">
        <x:v>चना सत्तू</x:v>
      </x:c>
      <x:c r="E243" s="14" t="str">
        <x:v>chana sattu, roasted bengal gram flour, sattu</x:v>
      </x:c>
      <x:c r="F243" s="14" t="str">
        <x:v>Known varieties/types: JG-11, JAKI-9218, Vijay, Vishal, Pusa-256, Kabuli types, desi/brown chana</x:v>
      </x:c>
      <x:c r="G243" s="14" t="str">
        <x:v>Base crop area (chana): Madhya Pradesh: Sehore, Vidisha, Dewas, Ujjain, Narmadapuram; Rajasthan: Kota, Bundi, Baran, Jaipur, Churu; Maharashtra: Akola, Amravati, Latur; Uttar Pradesh: Banda, Hamirpur, Jhansi; Karnataka: Kalaburagi, Vijayapura; Gujarat: Dahod, Banaskantha</x:v>
      </x:c>
      <x:c r="H243" s="31" t="str">
        <x:v>Jute/gunny bag or HDPE/PP woven sack</x:v>
      </x:c>
      <x:c r="I243" s="31" t="str">
        <x:v>₹/quintal, ₹/kg, or ₹/bag</x:v>
      </x:c>
      <x:c r="J243" s="31" t="str">
        <x:v>Usually 50 kg or 100 kg sacks; dal/flour often 25 kg or 50 kg bags</x:v>
      </x:c>
      <x:c r="K243" s="31" t="str">
        <x:v>Preferred normalized unit is ₹/quintal. If quote is per bag, use net bag weight: ₹/kg = bag price ÷ kg; ₹/quintal = ₹/kg × 100.</x:v>
      </x:c>
      <x:c r="L243" s="31" t="str">
        <x:v>₹/quintal</x:v>
      </x:c>
    </x:row>
    <x:row r="244" ht="74" customHeight="1">
      <x:c r="A244" s="14" t="str">
        <x:v>P0243</x:v>
      </x:c>
      <x:c r="B244" s="14" t="str">
        <x:v>PROCESSED GRAINS / FLOURS</x:v>
      </x:c>
      <x:c r="C244" s="14" t="str">
        <x:v>Wheat Flour</x:v>
      </x:c>
      <x:c r="D244" s="14" t="str">
        <x:v>गेहूं का आटा</x:v>
      </x:c>
      <x:c r="E244" s="14" t="str">
        <x:v>gehun ka atta, atta, wheat flour</x:v>
      </x:c>
      <x:c r="F244" s="14" t="str">
        <x:v>Known varieties/types: HD-2967, HD-3086, PBW-343, PBW-550, DBW-187, Lok-1, Sharbati, Durum/Malwa wheat</x:v>
      </x:c>
      <x:c r="G244" s="14" t="str">
        <x:v>Base crop area (wheat): Uttar Pradesh: Meerut, Saharanpur, Aligarh, Agra, Lakhimpur Kheri, Bijnor; Punjab: Ludhiana, Sangrur, Patiala, Bathinda; Haryana: Karnal, Kurukshetra, Hisar, Sirsa; Madhya Pradesh: Sehore, Vidisha, Narmadapuram, Indore, Ujjain, Mandsaur; Rajasthan: Kota, Bundi, Ganganagar, Hanumangarh, Jaipur; Bihar: Rohtas, Bhojpur, Patna</x:v>
      </x:c>
      <x:c r="H244" s="31" t="str">
        <x:v>Jute/gunny bag or HDPE/PP woven sack</x:v>
      </x:c>
      <x:c r="I244" s="31" t="str">
        <x:v>₹/quintal, ₹/kg, or ₹/bag</x:v>
      </x:c>
      <x:c r="J244" s="31" t="str">
        <x:v>Usually 50 kg or 100 kg sacks; dal/flour often 25 kg or 50 kg bags</x:v>
      </x:c>
      <x:c r="K244" s="31" t="str">
        <x:v>Preferred normalized unit is ₹/quintal. If quote is per bag, use net bag weight: ₹/kg = bag price ÷ kg; ₹/quintal = ₹/kg × 100.</x:v>
      </x:c>
      <x:c r="L244" s="31" t="str">
        <x:v>₹/quintal</x:v>
      </x:c>
    </x:row>
    <x:row r="245" ht="74" customHeight="1">
      <x:c r="A245" s="14" t="str">
        <x:v>P0244</x:v>
      </x:c>
      <x:c r="B245" s="14" t="str">
        <x:v>MISC / MARKET COMMODITIES</x:v>
      </x:c>
      <x:c r="C245" s="14" t="str">
        <x:v>Water Chestnut</x:v>
      </x:c>
      <x:c r="D245" s="14" t="str">
        <x:v>सिंघाड़ा</x:v>
      </x:c>
      <x:c r="E245" s="14" t="str">
        <x:v>singhada, water chestnut</x:v>
      </x:c>
      <x:c r="F245" s="14" t="str">
        <x:v>Known varieties/types: singhara/water chestnut green and black types; flour from dried nuts</x:v>
      </x:c>
      <x:c r="G245" s="14" t="str">
        <x:v>Bihar: Darbhanga, Madhubani, Patna; Uttar Pradesh: Gorakhpur, Varanasi; Madhya Pradesh: Bhopal, Jabalpur; West Bengal and Assam wetland belts</x:v>
      </x:c>
      <x:c r="H245" s="31" t="str">
        <x:v>Jute/HDPE sack, carton, or crate depending on moisture and grade</x:v>
      </x:c>
      <x:c r="I245" s="31" t="str">
        <x:v>₹/kg, ₹/quintal, ₹/bag, ₹/carton, or lot rate</x:v>
      </x:c>
      <x:c r="J245" s="31" t="str">
        <x:v>Most dry/semi-dry lots use 25-50 kg bags; fresh/semi-fresh lots may use crates</x:v>
      </x:c>
      <x:c r="K245" s="31" t="str">
        <x:v>Normalize by net weight. ₹/kg = lot price ÷ net kg; ₹/quintal = ₹/kg × 100. Capture moisture/grade where relevant.</x:v>
      </x:c>
      <x:c r="L245" s="31" t="str">
        <x:v>₹/kg or ₹/quintal</x:v>
      </x:c>
    </x:row>
    <x:row r="246" ht="74" customHeight="1">
      <x:c r="A246" s="14" t="str">
        <x:v>P0245</x:v>
      </x:c>
      <x:c r="B246" s="14" t="str">
        <x:v>PROCESSED GRAINS / FLOURS</x:v>
      </x:c>
      <x:c r="C246" s="14" t="str">
        <x:v>Water Chestnut Flour</x:v>
      </x:c>
      <x:c r="D246" s="14" t="str">
        <x:v>सिंघाड़े का आटा</x:v>
      </x:c>
      <x:c r="E246" s="14" t="str">
        <x:v>singhade ka atta, water chestnut flour</x:v>
      </x:c>
      <x:c r="F246" s="14" t="str">
        <x:v>Known varieties/types: singhara/water chestnut green and black types; flour from dried nuts</x:v>
      </x:c>
      <x:c r="G246" s="14" t="str">
        <x:v>Base crop area (water chestnut): Bihar: Darbhanga, Madhubani, Patna; Uttar Pradesh: Gorakhpur, Varanasi; Madhya Pradesh: Bhopal, Jabalpur; West Bengal and Assam wetland belts</x:v>
      </x:c>
      <x:c r="H246" s="31" t="str">
        <x:v>Jute/gunny bag or HDPE/PP woven sack</x:v>
      </x:c>
      <x:c r="I246" s="31" t="str">
        <x:v>₹/quintal, ₹/kg, or ₹/bag</x:v>
      </x:c>
      <x:c r="J246" s="31" t="str">
        <x:v>Usually 50 kg or 100 kg sacks; dal/flour often 25 kg or 50 kg bags</x:v>
      </x:c>
      <x:c r="K246" s="31" t="str">
        <x:v>Preferred normalized unit is ₹/quintal. If quote is per bag, use net bag weight: ₹/kg = bag price ÷ kg; ₹/quintal = ₹/kg × 100.</x:v>
      </x:c>
      <x:c r="L246" s="31" t="str">
        <x:v>₹/quintal</x:v>
      </x:c>
    </x:row>
    <x:row r="247" ht="74" customHeight="1">
      <x:c r="A247" s="14" t="str">
        <x:v>P0246</x:v>
      </x:c>
      <x:c r="B247" s="14" t="str">
        <x:v>VEGETABLES</x:v>
      </x:c>
      <x:c r="C247" s="14" t="str">
        <x:v>Baby Corn</x:v>
      </x:c>
      <x:c r="D247" s="14" t="str">
        <x:v>बेबी कॉर्न</x:v>
      </x:c>
      <x:c r="E247" s="14" t="str">
        <x:v>baby corn</x:v>
      </x:c>
      <x:c r="F247" s="14" t="str">
        <x:v>Known varieties/types: HQPM hybrids, 900M Gold-type hybrids, sweet corn, baby corn, pop corn, dent/flint maize</x:v>
      </x:c>
      <x:c r="G247" s="14" t="str">
        <x:v>Karnataka: Davanagere, Haveri, Belagavi; Bihar: Purnea, Katihar, Begusarai, Khagaria; Madhya Pradesh: Chhindwara, Seoni, Mandla; Rajasthan: Bhilwara, Banswara, Udaipur; Uttar Pradesh: Bahraich, Hardoi, Gonda; Telangana/Andhra: Karimnagar, Warangal, Guntur, Krishna</x:v>
      </x:c>
      <x:c r="H247" s="31" t="str">
        <x:v>Plastic crate, sack, carton, or loose count lot</x:v>
      </x:c>
      <x:c r="I247" s="31" t="str">
        <x:v>₹/kg, ₹/piece, ₹/dozen, ₹/crate, or ₹/bag</x:v>
      </x:c>
      <x:c r="J247" s="31" t="str">
        <x:v>Count and net weight vary; capture both pieces and kg when possible</x:v>
      </x:c>
      <x:c r="K247" s="31" t="str">
        <x:v>If count-based, value by piece/dozen. If weight-based, normalize to ₹/kg. For crate/bag, divide price by net kg.</x:v>
      </x:c>
      <x:c r="L247" s="31" t="str">
        <x:v>₹/kg or ₹/piece</x:v>
      </x:c>
    </x:row>
    <x:row r="248" ht="74" customHeight="1">
      <x:c r="A248" s="14" t="str">
        <x:v>P0247</x:v>
      </x:c>
      <x:c r="B248" s="14" t="str">
        <x:v>ADDITIONAL FRUITS</x:v>
      </x:c>
      <x:c r="C248" s="14" t="str">
        <x:v>Bael</x:v>
      </x:c>
      <x:c r="D248" s="14" t="str">
        <x:v>बेल</x:v>
      </x:c>
      <x:c r="E248" s="14" t="str">
        <x:v>bel, bael, wood apple</x:v>
      </x:c>
      <x:c r="F248" s="14" t="str">
        <x:v>Known varieties/types: Royal Delicious, Red Delicious, Golden Delicious, Ambri, Gala, Fuji, Granny Smith, Red Chief, Spur types</x:v>
      </x:c>
      <x:c r="G248" s="14" t="str">
        <x:v>Jammu &amp; Kashmir: Shopian, Anantnag, Pulwama, Kulgam, Baramulla; Himachal Pradesh: Kinnaur, Shimla, Kullu, Mandi; Uttarakhand: Nainital, Almora; Arunachal/Sikkim hill pockets</x:v>
      </x:c>
      <x:c r="H248" s="31" t="str">
        <x:v>Plastic crate, corrugated fiberboard carton, bamboo basket, net bag, or loose lot</x:v>
      </x:c>
      <x:c r="I248" s="31" t="str">
        <x:v>₹/kg, ₹/crate, ₹/box, ₹/piece, or lot rate</x:v>
      </x:c>
      <x:c r="J248" s="31" t="str">
        <x:v>Most fresh fruit wholesale packs are 5-20 kg; capture actual net weight/count</x:v>
      </x:c>
      <x:c r="K248" s="31" t="str">
        <x:v>Normalize to ₹/kg wherever possible. If quoted by pack/count, divide by actual net kg or count and preserve raw quote unit.</x:v>
      </x:c>
      <x:c r="L248" s="31" t="str">
        <x:v>₹/kg</x:v>
      </x:c>
    </x:row>
    <x:row r="249" ht="74" customHeight="1">
      <x:c r="A249" s="14" t="str">
        <x:v>P0248</x:v>
      </x:c>
      <x:c r="B249" s="14" t="str">
        <x:v>ADDITIONAL FRUITS</x:v>
      </x:c>
      <x:c r="C249" s="14" t="str">
        <x:v>Wood Apple</x:v>
      </x:c>
      <x:c r="D249" s="14" t="str">
        <x:v>कैथा / कवठ</x:v>
      </x:c>
      <x:c r="E249" s="14" t="str">
        <x:v>kaitha / kavath, wood apple, elephant apple</x:v>
      </x:c>
      <x:c r="F249" s="14" t="str">
        <x:v>Known varieties/types: Royal Delicious, Red Delicious, Golden Delicious, Ambri, Gala, Fuji, Granny Smith, Red Chief, Spur types</x:v>
      </x:c>
      <x:c r="G249" s="14" t="str">
        <x:v>Jammu &amp; Kashmir: Shopian, Anantnag, Pulwama, Kulgam, Baramulla; Himachal Pradesh: Kinnaur, Shimla, Kullu, Mandi; Uttarakhand: Nainital, Almora; Arunachal/Sikkim hill pockets</x:v>
      </x:c>
      <x:c r="H249" s="31" t="str">
        <x:v>Corrugated fiberboard carton, wooden crate/lug, plastic tray carton, or telescopic box</x:v>
      </x:c>
      <x:c r="I249" s="31" t="str">
        <x:v>₹/kg, ₹/box/carton, or count/size-grade box</x:v>
      </x:c>
      <x:c r="J249" s="31" t="str">
        <x:v>Usually 5-20 kg cartons/boxes depending on fruit and grade; capture box net weight and count size</x:v>
      </x:c>
      <x:c r="K249" s="31" t="str">
        <x:v>If quoted per box: ₹/kg = box price ÷ net kg. Also store size/count grade because box-to-box comparison can distort value.</x:v>
      </x:c>
      <x:c r="L249" s="31" t="str">
        <x:v>₹/kg</x:v>
      </x:c>
    </x:row>
    <x:row r="250" ht="74" customHeight="1">
      <x:c r="A250" s="14" t="str">
        <x:v>P0249</x:v>
      </x:c>
      <x:c r="B250" s="14" t="str">
        <x:v>ADDITIONAL FRUITS</x:v>
      </x:c>
      <x:c r="C250" s="14" t="str">
        <x:v>Star Fruit</x:v>
      </x:c>
      <x:c r="D250" s="14" t="str">
        <x:v>कमरख</x:v>
      </x:c>
      <x:c r="E250" s="14" t="str">
        <x:v>kamrakh, star fruit, carambola</x:v>
      </x:c>
      <x:c r="F250" s="14" t="str">
        <x:v>Known varieties/types: Arkin-type, sweet and sour carambola local types</x:v>
      </x:c>
      <x:c r="G250" s="14" t="str">
        <x:v>Kerala: Ernakulam, Thrissur; Karnataka: Dakshina Kannada, Kodagu; Tamil Nadu: Nilgiris/Coimbatore; West Bengal/Assam humid belts</x:v>
      </x:c>
      <x:c r="H250" s="31" t="str">
        <x:v>Plastic crate, corrugated fiberboard carton, bamboo basket, or net/mesh bag for some citrus lots</x:v>
      </x:c>
      <x:c r="I250" s="31" t="str">
        <x:v>₹/kg, ₹/crate, ₹/box/carton, or ₹/piece for premium fruit</x:v>
      </x:c>
      <x:c r="J250" s="31" t="str">
        <x:v>Typically 5-20 kg crates/cartons depending on commodity and distance</x:v>
      </x:c>
      <x:c r="K250" s="31" t="str">
        <x:v>Normalize to ₹/kg. If quoted per crate/box, use actual net kg after tare. Keep grade/size because large-size fruit changes value.</x:v>
      </x:c>
      <x:c r="L250" s="31" t="str">
        <x:v>₹/kg</x:v>
      </x:c>
    </x:row>
    <x:row r="251" ht="74" customHeight="1">
      <x:c r="A251" s="14" t="str">
        <x:v>P0250</x:v>
      </x:c>
      <x:c r="B251" s="14" t="str">
        <x:v>ADDITIONAL FRUITS</x:v>
      </x:c>
      <x:c r="C251" s="14" t="str">
        <x:v>Karonda</x:v>
      </x:c>
      <x:c r="D251" s="14" t="str">
        <x:v>करौंदा</x:v>
      </x:c>
      <x:c r="E251" s="14" t="str">
        <x:v>karonda, natal plum</x:v>
      </x:c>
      <x:c r="F251" s="14" t="str">
        <x:v>Known varieties/types: Santa Rosa, Kala Amritsari, Titron, Alu Bokhara local types</x:v>
      </x:c>
      <x:c r="G251" s="14" t="str">
        <x:v>Himachal Pradesh: Shimla, Kullu, Solan; Jammu &amp; Kashmir: Kashmir Valley; Uttarakhand: Nainital, Almora; Punjab/Himachal foothills</x:v>
      </x:c>
      <x:c r="H251" s="31" t="str">
        <x:v>Plastic crate, corrugated fiberboard carton, bamboo basket, or net/mesh bag for some citrus lots</x:v>
      </x:c>
      <x:c r="I251" s="31" t="str">
        <x:v>₹/kg, ₹/crate, ₹/box/carton, or ₹/piece for premium fruit</x:v>
      </x:c>
      <x:c r="J251" s="31" t="str">
        <x:v>Typically 5-20 kg crates/cartons depending on commodity and distance</x:v>
      </x:c>
      <x:c r="K251" s="31" t="str">
        <x:v>Normalize to ₹/kg. If quoted per crate/box, use actual net kg after tare. Keep grade/size because large-size fruit changes value.</x:v>
      </x:c>
      <x:c r="L251" s="31" t="str">
        <x:v>₹/kg</x:v>
      </x:c>
    </x:row>
    <x:row r="252" ht="74" customHeight="1">
      <x:c r="A252" s="14" t="str">
        <x:v>P0251</x:v>
      </x:c>
      <x:c r="B252" s="14" t="str">
        <x:v>ADDITIONAL FRUITS</x:v>
      </x:c>
      <x:c r="C252" s="14" t="str">
        <x:v>Phalsa</x:v>
      </x:c>
      <x:c r="D252" s="14" t="str">
        <x:v>फालसा</x:v>
      </x:c>
      <x:c r="E252" s="14" t="str">
        <x:v>phalsa, falsa</x:v>
      </x:c>
      <x:c r="F252" s="14" t="str">
        <x:v>Known varieties/types: Sharbati, local phalsa selections</x:v>
      </x:c>
      <x:c r="G252" s="14" t="str">
        <x:v>Punjab, Haryana, Rajasthan, Delhi/NCR, Uttar Pradesh and Madhya Pradesh summer fruit belts; small orchard arrivals around Hisar, Jaipur, Agra, Lucknow and Indore</x:v>
      </x:c>
      <x:c r="H252" s="31" t="str">
        <x:v>Plastic crate, corrugated fiberboard carton, bamboo basket, or net/mesh bag for some citrus lots</x:v>
      </x:c>
      <x:c r="I252" s="31" t="str">
        <x:v>₹/kg, ₹/crate, ₹/box/carton, or ₹/piece for premium fruit</x:v>
      </x:c>
      <x:c r="J252" s="31" t="str">
        <x:v>Typically 5-20 kg crates/cartons depending on commodity and distance</x:v>
      </x:c>
      <x:c r="K252" s="31" t="str">
        <x:v>Normalize to ₹/kg. If quoted per crate/box, use actual net kg after tare. Keep grade/size because large-size fruit changes value.</x:v>
      </x:c>
      <x:c r="L252" s="31" t="str">
        <x:v>₹/kg</x:v>
      </x:c>
    </x:row>
    <x:row r="253" ht="74" customHeight="1">
      <x:c r="A253" s="14" t="str">
        <x:v>P0252</x:v>
      </x:c>
      <x:c r="B253" s="14" t="str">
        <x:v>ADDITIONAL FRUITS</x:v>
      </x:c>
      <x:c r="C253" s="14" t="str">
        <x:v>Mulberry</x:v>
      </x:c>
      <x:c r="D253" s="14" t="str">
        <x:v>शहतूत</x:v>
      </x:c>
      <x:c r="E253" s="14" t="str">
        <x:v>shehtoot, mulberry</x:v>
      </x:c>
      <x:c r="F253" s="14" t="str">
        <x:v>Known varieties/types: Umran, Gola, Seb, Banarasi Karaka, Kaithali, Mehrun</x:v>
      </x:c>
      <x:c r="G253" s="14" t="str">
        <x:v>Rajasthan: Jaipur, Ajmer, Jodhpur, Barmer; Haryana: Hisar, Bhiwani; Punjab: Abohar, Fazilka; Gujarat: Kutch, Banaskantha; Maharashtra dry belts</x:v>
      </x:c>
      <x:c r="H253" s="31" t="str">
        <x:v>Punnet/clamshell trays packed in corrugated carton or cold-chain crate</x:v>
      </x:c>
      <x:c r="I253" s="31" t="str">
        <x:v>₹/punnet, ₹/tray, ₹/carton, or ₹/kg</x:v>
      </x:c>
      <x:c r="J253" s="31" t="str">
        <x:v>Punnets are often small-count packs; carton net weight must be captured from seller/label</x:v>
      </x:c>
      <x:c r="K253" s="31" t="str">
        <x:v>Normalize to ₹/kg only after capturing punnet/carton net weight. Otherwise keep ₹/punnet/₹/tray for retail-like wholesale quotes.</x:v>
      </x:c>
      <x:c r="L253" s="31" t="str">
        <x:v>₹/kg or ₹/punnet</x:v>
      </x:c>
    </x:row>
    <x:row r="254" ht="74" customHeight="1">
      <x:c r="A254" s="14" t="str">
        <x:v>P0253</x:v>
      </x:c>
      <x:c r="B254" s="14" t="str">
        <x:v>ADDITIONAL FRUITS</x:v>
      </x:c>
      <x:c r="C254" s="14" t="str">
        <x:v>Fig</x:v>
      </x:c>
      <x:c r="D254" s="14" t="str">
        <x:v>अंजीर</x:v>
      </x:c>
      <x:c r="E254" s="14" t="str">
        <x:v>anjeer, fig, fresh fig</x:v>
      </x:c>
      <x:c r="F254" s="14" t="str">
        <x:v>Known varieties/types: Poona Fig, Dinkar, Brown Turkey, Deanna, local anjeer types</x:v>
      </x:c>
      <x:c r="G254" s="14" t="str">
        <x:v>Maharashtra: Pune, Nashik, Solapur; Karnataka: Ballari, Bengaluru Rural; Gujarat: Kutch, Banaskantha; Tamil Nadu and Andhra dry belts</x:v>
      </x:c>
      <x:c r="H254" s="31" t="str">
        <x:v>Plastic crate, corrugated fiberboard carton, bamboo basket, or net/mesh bag for some citrus lots</x:v>
      </x:c>
      <x:c r="I254" s="31" t="str">
        <x:v>₹/kg, ₹/crate, ₹/box/carton, or ₹/piece for premium fruit</x:v>
      </x:c>
      <x:c r="J254" s="31" t="str">
        <x:v>Typically 5-20 kg crates/cartons depending on commodity and distance</x:v>
      </x:c>
      <x:c r="K254" s="31" t="str">
        <x:v>Normalize to ₹/kg. If quoted per crate/box, use actual net kg after tare. Keep grade/size because large-size fruit changes value.</x:v>
      </x:c>
      <x:c r="L254" s="31" t="str">
        <x:v>₹/kg</x:v>
      </x:c>
    </x:row>
    <x:row r="255" ht="74" customHeight="1">
      <x:c r="A255" s="14" t="str">
        <x:v>P0254</x:v>
      </x:c>
      <x:c r="B255" s="14" t="str">
        <x:v>ADDITIONAL FRUITS</x:v>
      </x:c>
      <x:c r="C255" s="14" t="str">
        <x:v>Dates</x:v>
      </x:c>
      <x:c r="D255" s="14" t="str">
        <x:v>खजूर</x:v>
      </x:c>
      <x:c r="E255" s="14" t="str">
        <x:v>khajoor, dates, fresh dates</x:v>
      </x:c>
      <x:c r="F255" s="14" t="str">
        <x:v>Known varieties/types: Barhee, Medjool, Khunezi, Khalas, Zahidi; India mostly fresh/date-palm clusters in Kutch-Rajasthan</x:v>
      </x:c>
      <x:c r="G255" s="14" t="str">
        <x:v>Gujarat: Kutch; Rajasthan: Jaisalmer, Barmer, Bikaner; small date-palm belts in arid western India; imported date arrivals in Mumbai/Delhi</x:v>
      </x:c>
      <x:c r="H255" s="31" t="str">
        <x:v>Plastic crate, corrugated fiberboard carton, bamboo basket, or net/mesh bag for some citrus lots</x:v>
      </x:c>
      <x:c r="I255" s="31" t="str">
        <x:v>₹/kg, ₹/crate, ₹/box/carton, or ₹/piece for premium fruit</x:v>
      </x:c>
      <x:c r="J255" s="31" t="str">
        <x:v>Typically 5-20 kg crates/cartons depending on commodity and distance</x:v>
      </x:c>
      <x:c r="K255" s="31" t="str">
        <x:v>Normalize to ₹/kg. If quoted per crate/box, use actual net kg after tare. Keep grade/size because large-size fruit changes value.</x:v>
      </x:c>
      <x:c r="L255" s="31" t="str">
        <x:v>₹/kg</x:v>
      </x:c>
    </x:row>
    <x:row r="256" ht="74" customHeight="1">
      <x:c r="A256" s="14" t="str">
        <x:v>P0255</x:v>
      </x:c>
      <x:c r="B256" s="14" t="str">
        <x:v>ADDITIONAL FRUITS</x:v>
      </x:c>
      <x:c r="C256" s="14" t="str">
        <x:v>Blueberry</x:v>
      </x:c>
      <x:c r="D256" s="14" t="str">
        <x:v>ब्लूबेरी</x:v>
      </x:c>
      <x:c r="E256" s="14" t="str">
        <x:v>blueberry</x:v>
      </x:c>
      <x:c r="F256" s="14" t="str">
        <x:v>Known varieties/types: Umran, Gola, Seb, Banarasi Karaka, Kaithali, Mehrun</x:v>
      </x:c>
      <x:c r="G256" s="14" t="str">
        <x:v>Rajasthan: Jaipur, Ajmer, Jodhpur, Barmer; Haryana: Hisar, Bhiwani; Punjab: Abohar, Fazilka; Gujarat: Kutch, Banaskantha; Maharashtra dry belts</x:v>
      </x:c>
      <x:c r="H256" s="31" t="str">
        <x:v>Punnet/clamshell trays packed in corrugated carton or cold-chain crate</x:v>
      </x:c>
      <x:c r="I256" s="31" t="str">
        <x:v>₹/punnet, ₹/tray, ₹/carton, or ₹/kg</x:v>
      </x:c>
      <x:c r="J256" s="31" t="str">
        <x:v>Punnets are often small-count packs; carton net weight must be captured from seller/label</x:v>
      </x:c>
      <x:c r="K256" s="31" t="str">
        <x:v>Normalize to ₹/kg only after capturing punnet/carton net weight. Otherwise keep ₹/punnet/₹/tray for retail-like wholesale quotes.</x:v>
      </x:c>
      <x:c r="L256" s="31" t="str">
        <x:v>₹/kg or ₹/punnet</x:v>
      </x:c>
    </x:row>
    <x:row r="257" ht="74" customHeight="1">
      <x:c r="A257" s="14" t="str">
        <x:v>P0256</x:v>
      </x:c>
      <x:c r="B257" s="14" t="str">
        <x:v>ADDITIONAL FRUITS</x:v>
      </x:c>
      <x:c r="C257" s="14" t="str">
        <x:v>Raspberry</x:v>
      </x:c>
      <x:c r="D257" s="14" t="str">
        <x:v>रास्पबेरी</x:v>
      </x:c>
      <x:c r="E257" s="14" t="str">
        <x:v>raspberry</x:v>
      </x:c>
      <x:c r="F257" s="14" t="str">
        <x:v>Known varieties/types: Umran, Gola, Seb, Banarasi Karaka, Kaithali, Mehrun</x:v>
      </x:c>
      <x:c r="G257" s="14" t="str">
        <x:v>Rajasthan: Jaipur, Ajmer, Jodhpur, Barmer; Haryana: Hisar, Bhiwani; Punjab: Abohar, Fazilka; Gujarat: Kutch, Banaskantha; Maharashtra dry belts</x:v>
      </x:c>
      <x:c r="H257" s="31" t="str">
        <x:v>Punnet/clamshell trays packed in corrugated carton or cold-chain crate</x:v>
      </x:c>
      <x:c r="I257" s="31" t="str">
        <x:v>₹/punnet, ₹/tray, ₹/carton, or ₹/kg</x:v>
      </x:c>
      <x:c r="J257" s="31" t="str">
        <x:v>Punnets are often small-count packs; carton net weight must be captured from seller/label</x:v>
      </x:c>
      <x:c r="K257" s="31" t="str">
        <x:v>Normalize to ₹/kg only after capturing punnet/carton net weight. Otherwise keep ₹/punnet/₹/tray for retail-like wholesale quotes.</x:v>
      </x:c>
      <x:c r="L257" s="31" t="str">
        <x:v>₹/kg or ₹/punnet</x:v>
      </x:c>
    </x:row>
    <x:row r="258" ht="74" customHeight="1">
      <x:c r="A258" s="14" t="str">
        <x:v>P0257</x:v>
      </x:c>
      <x:c r="B258" s="14" t="str">
        <x:v>ADDITIONAL FRUITS</x:v>
      </x:c>
      <x:c r="C258" s="14" t="str">
        <x:v>Cranberry</x:v>
      </x:c>
      <x:c r="D258" s="14" t="str">
        <x:v>क्रैनबेरी</x:v>
      </x:c>
      <x:c r="E258" s="14" t="str">
        <x:v>cranberry</x:v>
      </x:c>
      <x:c r="F258" s="14" t="str">
        <x:v>Known varieties/types: Umran, Gola, Seb, Banarasi Karaka, Kaithali, Mehrun</x:v>
      </x:c>
      <x:c r="G258" s="14" t="str">
        <x:v>Rajasthan: Jaipur, Ajmer, Jodhpur, Barmer; Haryana: Hisar, Bhiwani; Punjab: Abohar, Fazilka; Gujarat: Kutch, Banaskantha; Maharashtra dry belts</x:v>
      </x:c>
      <x:c r="H258" s="31" t="str">
        <x:v>Punnet/clamshell trays packed in corrugated carton or cold-chain crate</x:v>
      </x:c>
      <x:c r="I258" s="31" t="str">
        <x:v>₹/punnet, ₹/tray, ₹/carton, or ₹/kg</x:v>
      </x:c>
      <x:c r="J258" s="31" t="str">
        <x:v>Punnets are often small-count packs; carton net weight must be captured from seller/label</x:v>
      </x:c>
      <x:c r="K258" s="31" t="str">
        <x:v>Normalize to ₹/kg only after capturing punnet/carton net weight. Otherwise keep ₹/punnet/₹/tray for retail-like wholesale quotes.</x:v>
      </x:c>
      <x:c r="L258" s="31" t="str">
        <x:v>₹/kg or ₹/punnet</x:v>
      </x:c>
    </x:row>
    <x:row r="259" ht="74" customHeight="1">
      <x:c r="A259" s="14" t="str">
        <x:v>P0258</x:v>
      </x:c>
      <x:c r="B259" s="14" t="str">
        <x:v>ADDITIONAL FRUITS</x:v>
      </x:c>
      <x:c r="C259" s="14" t="str">
        <x:v>Blackberry</x:v>
      </x:c>
      <x:c r="D259" s="14" t="str">
        <x:v>ब्लैकबेरी</x:v>
      </x:c>
      <x:c r="E259" s="14" t="str">
        <x:v>blackberry</x:v>
      </x:c>
      <x:c r="F259" s="14" t="str">
        <x:v>Known varieties/types: Umran, Gola, Seb, Banarasi Karaka, Kaithali, Mehrun</x:v>
      </x:c>
      <x:c r="G259" s="14" t="str">
        <x:v>Rajasthan: Jaipur, Ajmer, Jodhpur, Barmer; Haryana: Hisar, Bhiwani; Punjab: Abohar, Fazilka; Gujarat: Kutch, Banaskantha; Maharashtra dry belts</x:v>
      </x:c>
      <x:c r="H259" s="31" t="str">
        <x:v>Punnet/clamshell trays packed in corrugated carton or cold-chain crate</x:v>
      </x:c>
      <x:c r="I259" s="31" t="str">
        <x:v>₹/punnet, ₹/tray, ₹/carton, or ₹/kg</x:v>
      </x:c>
      <x:c r="J259" s="31" t="str">
        <x:v>Punnets are often small-count packs; carton net weight must be captured from seller/label</x:v>
      </x:c>
      <x:c r="K259" s="31" t="str">
        <x:v>Normalize to ₹/kg only after capturing punnet/carton net weight. Otherwise keep ₹/punnet/₹/tray for retail-like wholesale quotes.</x:v>
      </x:c>
      <x:c r="L259" s="31" t="str">
        <x:v>₹/kg or ₹/punnet</x:v>
      </x:c>
    </x:row>
    <x:row r="260" ht="74" customHeight="1">
      <x:c r="A260" s="14" t="str">
        <x:v>P0259</x:v>
      </x:c>
      <x:c r="B260" s="14" t="str">
        <x:v>ADDITIONAL FRUITS</x:v>
      </x:c>
      <x:c r="C260" s="14" t="str">
        <x:v>Pomelo</x:v>
      </x:c>
      <x:c r="D260" s="14" t="str">
        <x:v>बड़ा चकोतरा</x:v>
      </x:c>
      <x:c r="E260" s="14" t="str">
        <x:v>bada chakotra, pomelo</x:v>
      </x:c>
      <x:c r="F260" s="14" t="str">
        <x:v>Known varieties/types: local chakotra/pomelo landraces, pink and white flesh types</x:v>
      </x:c>
      <x:c r="G260" s="14" t="str">
        <x:v>North East: Assam, Meghalaya, Manipur; West Bengal and Odisha pockets; citrus arrivals from hill/foothill belts</x:v>
      </x:c>
      <x:c r="H260" s="31" t="str">
        <x:v>Plastic crate, corrugated fiberboard carton, bamboo basket, or net/mesh bag for some citrus lots</x:v>
      </x:c>
      <x:c r="I260" s="31" t="str">
        <x:v>₹/kg, ₹/crate, ₹/box/carton, or ₹/piece for premium fruit</x:v>
      </x:c>
      <x:c r="J260" s="31" t="str">
        <x:v>Typically 5-20 kg crates/cartons depending on commodity and distance</x:v>
      </x:c>
      <x:c r="K260" s="31" t="str">
        <x:v>Normalize to ₹/kg. If quoted per crate/box, use actual net kg after tare. Keep grade/size because large-size fruit changes value.</x:v>
      </x:c>
      <x:c r="L260" s="31" t="str">
        <x:v>₹/kg</x:v>
      </x:c>
    </x:row>
    <x:row r="261" ht="74" customHeight="1">
      <x:c r="A261" s="14" t="str">
        <x:v>P0260</x:v>
      </x:c>
      <x:c r="B261" s="14" t="str">
        <x:v>ADDITIONAL FRUITS</x:v>
      </x:c>
      <x:c r="C261" s="14" t="str">
        <x:v>Malta</x:v>
      </x:c>
      <x:c r="D261" s="14" t="str">
        <x:v>माल्टा</x:v>
      </x:c>
      <x:c r="E261" s="14" t="str">
        <x:v>malta, malta orange</x:v>
      </x:c>
      <x:c r="F261" s="14" t="str">
        <x:v>Known varieties/types: Nagpur Mandarin, Kinnow, Khasi Mandarin, Coorg Mandarin, Darjeeling Mandarin</x:v>
      </x:c>
      <x:c r="G261" s="14" t="str">
        <x:v>Maharashtra: Nagpur, Amravati, Wardha; Madhya Pradesh: Chhindwara; Assam: Tinsukia, Dibrugarh; Meghalaya/Manipur hill mandarin belts; Karnataka Coorg mandarin pockets</x:v>
      </x:c>
      <x:c r="H261" s="31" t="str">
        <x:v>Plastic crate, corrugated fiberboard carton, bamboo basket, or net/mesh bag for some citrus lots</x:v>
      </x:c>
      <x:c r="I261" s="31" t="str">
        <x:v>₹/kg, ₹/crate, ₹/box/carton, or ₹/piece for premium fruit</x:v>
      </x:c>
      <x:c r="J261" s="31" t="str">
        <x:v>Typically 5-20 kg crates/cartons depending on commodity and distance</x:v>
      </x:c>
      <x:c r="K261" s="31" t="str">
        <x:v>Normalize to ₹/kg. If quoted per crate/box, use actual net kg after tare. Keep grade/size because large-size fruit changes value.</x:v>
      </x:c>
      <x:c r="L261" s="31" t="str">
        <x:v>₹/kg</x:v>
      </x:c>
    </x:row>
    <x:row r="262" ht="74" customHeight="1">
      <x:c r="A262" s="14" t="str">
        <x:v>P0261</x:v>
      </x:c>
      <x:c r="B262" s="14" t="str">
        <x:v>ADDITIONAL FRUITS</x:v>
      </x:c>
      <x:c r="C262" s="14" t="str">
        <x:v>Galgal</x:v>
      </x:c>
      <x:c r="D262" s="14" t="str">
        <x:v>गलगल</x:v>
      </x:c>
      <x:c r="E262" s="14" t="str">
        <x:v>galgal, hill lemon</x:v>
      </x:c>
      <x:c r="F262" s="14" t="str">
        <x:v>Known varieties/types: Kagzi lime, Assam lemon, Eureka lemon, Baramasi lemon, acid lime types</x:v>
      </x:c>
      <x:c r="G262" s="14" t="str">
        <x:v>Andhra Pradesh: Nellore, Kadapa; Gujarat: Kheda, Anand, Mehsana; Maharashtra: Akola, Jalgaon; Rajasthan: Jaipur, Jodhpur; Assam lemon belts in Dibrugarh/Tinsukia; Himachal galgal belts</x:v>
      </x:c>
      <x:c r="H262" s="31" t="str">
        <x:v>Plastic crate, corrugated fiberboard carton, bamboo basket, or net/mesh bag for some citrus lots</x:v>
      </x:c>
      <x:c r="I262" s="31" t="str">
        <x:v>₹/kg, ₹/crate, ₹/box/carton, or ₹/piece for premium fruit</x:v>
      </x:c>
      <x:c r="J262" s="31" t="str">
        <x:v>Typically 5-20 kg crates/cartons depending on commodity and distance</x:v>
      </x:c>
      <x:c r="K262" s="31" t="str">
        <x:v>Normalize to ₹/kg. If quoted per crate/box, use actual net kg after tare. Keep grade/size because large-size fruit changes value.</x:v>
      </x:c>
      <x:c r="L262" s="31" t="str">
        <x:v>₹/kg</x:v>
      </x:c>
    </x:row>
    <x:row r="263" ht="74" customHeight="1">
      <x:c r="A263" s="14" t="str">
        <x:v>P0262</x:v>
      </x:c>
      <x:c r="B263" s="14" t="str">
        <x:v>ADDITIONAL FRUITS</x:v>
      </x:c>
      <x:c r="C263" s="14" t="str">
        <x:v>Tadgola / Ice Apple</x:v>
      </x:c>
      <x:c r="D263" s="14" t="str">
        <x:v>ताड़गोला</x:v>
      </x:c>
      <x:c r="E263" s="14" t="str">
        <x:v>tadgola, ice apple, palm fruit</x:v>
      </x:c>
      <x:c r="F263" s="14" t="str">
        <x:v>Known varieties/types: Royal Delicious, Red Delicious, Golden Delicious, Ambri, Gala, Fuji, Granny Smith, Red Chief, Spur types</x:v>
      </x:c>
      <x:c r="G263" s="14" t="str">
        <x:v>Jammu &amp; Kashmir: Shopian, Anantnag, Pulwama, Kulgam, Baramulla; Himachal Pradesh: Kinnaur, Shimla, Kullu, Mandi; Uttarakhand: Nainital, Almora; Arunachal/Sikkim hill pockets</x:v>
      </x:c>
      <x:c r="H263" s="31" t="str">
        <x:v>Corrugated fiberboard carton, wooden crate/lug, plastic tray carton, or telescopic box</x:v>
      </x:c>
      <x:c r="I263" s="31" t="str">
        <x:v>₹/kg, ₹/box/carton, or count/size-grade box</x:v>
      </x:c>
      <x:c r="J263" s="31" t="str">
        <x:v>Usually 5-20 kg cartons/boxes depending on fruit and grade; capture box net weight and count size</x:v>
      </x:c>
      <x:c r="K263" s="31" t="str">
        <x:v>If quoted per box: ₹/kg = box price ÷ net kg. Also store size/count grade because box-to-box comparison can distort value.</x:v>
      </x:c>
      <x:c r="L263" s="31" t="str">
        <x:v>₹/kg</x:v>
      </x:c>
    </x:row>
    <x:row r="264" ht="74" customHeight="1">
      <x:c r="A264" s="14" t="str">
        <x:v>P0263</x:v>
      </x:c>
      <x:c r="B264" s="14" t="str">
        <x:v>ADDITIONAL FRUITS</x:v>
      </x:c>
      <x:c r="C264" s="14" t="str">
        <x:v>Palmyra Fruit</x:v>
      </x:c>
      <x:c r="D264" s="14" t="str">
        <x:v>ताड़ फल</x:v>
      </x:c>
      <x:c r="E264" s="14" t="str">
        <x:v>taad phal, palmyra fruit</x:v>
      </x:c>
      <x:c r="F264" s="14" t="str">
        <x:v>Known varieties/types: palmyra/taal fruit; local palm populations, not cultivar-specific</x:v>
      </x:c>
      <x:c r="G264" s="14" t="str">
        <x:v>Tamil Nadu, Andhra Pradesh, Telangana, Odisha and West Bengal palmyra belts; common areas include Thoothukudi, Tirunelveli, Prakasam, Ganjam and coastal Bengal</x:v>
      </x:c>
      <x:c r="H264" s="31" t="str">
        <x:v>Loose count lots, bamboo basket, plastic crate, net sack, or truck lot</x:v>
      </x:c>
      <x:c r="I264" s="31" t="str">
        <x:v>₹/piece, ₹/dozen, ₹/100 pieces, ₹/kg, or ₹/lot</x:v>
      </x:c>
      <x:c r="J264" s="31" t="str">
        <x:v>Count and size vary; capture actual piece count and average piece weight if available</x:v>
      </x:c>
      <x:c r="K264" s="31" t="str">
        <x:v>Use count-based value for trade: total value = pieces × piece rate. Convert to ₹/kg only when average weight/net lot kg is known.</x:v>
      </x:c>
      <x:c r="L264" s="31" t="str">
        <x:v>₹/piece or ₹/kg</x:v>
      </x:c>
    </x:row>
    <x:row r="265" ht="74" customHeight="1">
      <x:c r="A265" s="14" t="str">
        <x:v>P0264</x:v>
      </x:c>
      <x:c r="B265" s="14" t="str">
        <x:v>ADDITIONAL FRUITS</x:v>
      </x:c>
      <x:c r="C265" s="14" t="str">
        <x:v>Noni</x:v>
      </x:c>
      <x:c r="D265" s="14" t="str">
        <x:v>नोनी</x:v>
      </x:c>
      <x:c r="E265" s="14" t="str">
        <x:v>noni, noni fruit</x:v>
      </x:c>
      <x:c r="F265" s="14" t="str">
        <x:v>Known varieties/types: local noni/Morinda selections; cultivar names not common in Indian mandis</x:v>
      </x:c>
      <x:c r="G265" s="14" t="str">
        <x:v>Tamil Nadu, Kerala, Karnataka, Andaman &amp; Nicobar and coastal humid belts; niche farms around Erode, Coimbatore, Wayanad and coastal Karnataka</x:v>
      </x:c>
      <x:c r="H265" s="31" t="str">
        <x:v>Plastic crate, corrugated fiberboard carton, bamboo basket, net bag, or loose lot</x:v>
      </x:c>
      <x:c r="I265" s="31" t="str">
        <x:v>₹/kg, ₹/crate, ₹/box, ₹/piece, or lot rate</x:v>
      </x:c>
      <x:c r="J265" s="31" t="str">
        <x:v>Most fresh fruit wholesale packs are 5-20 kg; capture actual net weight/count</x:v>
      </x:c>
      <x:c r="K265" s="31" t="str">
        <x:v>Normalize to ₹/kg wherever possible. If quoted by pack/count, divide by actual net kg or count and preserve raw quote unit.</x:v>
      </x:c>
      <x:c r="L265" s="31" t="str">
        <x:v>₹/kg</x:v>
      </x:c>
    </x:row>
    <x:row r="266" ht="74" customHeight="1">
      <x:c r="A266" s="14" t="str">
        <x:v>P0265</x:v>
      </x:c>
      <x:c r="B266" s="14" t="str">
        <x:v>ADDITIONAL FRUITS</x:v>
      </x:c>
      <x:c r="C266" s="14" t="str">
        <x:v>Loquat</x:v>
      </x:c>
      <x:c r="D266" s="14" t="str">
        <x:v>लोकाट</x:v>
      </x:c>
      <x:c r="E266" s="14" t="str">
        <x:v>loquat</x:v>
      </x:c>
      <x:c r="F266" s="14" t="str">
        <x:v>Known varieties/types: Golden Yellow, Pale Yellow, local loquat selections</x:v>
      </x:c>
      <x:c r="G266" s="14" t="str">
        <x:v>Himachal Pradesh: Solan, Kangra; Uttarakhand: Dehradun, Nainital; Jammu &amp; Kashmir/Kashmir Valley; North East hill pockets</x:v>
      </x:c>
      <x:c r="H266" s="31" t="str">
        <x:v>Plastic crate, corrugated fiberboard carton, bamboo basket, or net/mesh bag for some citrus lots</x:v>
      </x:c>
      <x:c r="I266" s="31" t="str">
        <x:v>₹/kg, ₹/crate, ₹/box/carton, or ₹/piece for premium fruit</x:v>
      </x:c>
      <x:c r="J266" s="31" t="str">
        <x:v>Typically 5-20 kg crates/cartons depending on commodity and distance</x:v>
      </x:c>
      <x:c r="K266" s="31" t="str">
        <x:v>Normalize to ₹/kg. If quoted per crate/box, use actual net kg after tare. Keep grade/size because large-size fruit changes value.</x:v>
      </x:c>
      <x:c r="L266" s="31" t="str">
        <x:v>₹/kg</x:v>
      </x:c>
    </x:row>
    <x:row r="267" ht="74" customHeight="1">
      <x:c r="A267" s="14" t="str">
        <x:v>P0266</x:v>
      </x:c>
      <x:c r="B267" s="14" t="str">
        <x:v>ADDITIONAL FRUITS</x:v>
      </x:c>
      <x:c r="C267" s="14" t="str">
        <x:v>Cape Gooseberry</x:v>
      </x:c>
      <x:c r="D267" s="14" t="str">
        <x:v>रसभरी</x:v>
      </x:c>
      <x:c r="E267" s="14" t="str">
        <x:v>rasbhari, cape gooseberry</x:v>
      </x:c>
      <x:c r="F267" s="14" t="str">
        <x:v>Known varieties/types: Umran, Gola, Seb, Banarasi Karaka, Kaithali, Mehrun</x:v>
      </x:c>
      <x:c r="G267" s="14" t="str">
        <x:v>Rajasthan: Jaipur, Ajmer, Jodhpur, Barmer; Haryana: Hisar, Bhiwani; Punjab: Abohar, Fazilka; Gujarat: Kutch, Banaskantha; Maharashtra dry belts</x:v>
      </x:c>
      <x:c r="H267" s="31" t="str">
        <x:v>Punnet/clamshell trays packed in corrugated carton or cold-chain crate</x:v>
      </x:c>
      <x:c r="I267" s="31" t="str">
        <x:v>₹/punnet, ₹/tray, ₹/carton, or ₹/kg</x:v>
      </x:c>
      <x:c r="J267" s="31" t="str">
        <x:v>Punnets are often small-count packs; carton net weight must be captured from seller/label</x:v>
      </x:c>
      <x:c r="K267" s="31" t="str">
        <x:v>Normalize to ₹/kg only after capturing punnet/carton net weight. Otherwise keep ₹/punnet/₹/tray for retail-like wholesale quotes.</x:v>
      </x:c>
      <x:c r="L267" s="31" t="str">
        <x:v>₹/kg or ₹/punnet</x:v>
      </x:c>
    </x:row>
    <x:row r="268" ht="74" customHeight="1">
      <x:c r="A268" s="14" t="str">
        <x:v>P0267</x:v>
      </x:c>
      <x:c r="B268" s="14" t="str">
        <x:v>ADDITIONAL FRUITS</x:v>
      </x:c>
      <x:c r="C268" s="14" t="str">
        <x:v>Indian Almond Fruit</x:v>
      </x:c>
      <x:c r="D268" s="14" t="str">
        <x:v>जंगली बादाम फल</x:v>
      </x:c>
      <x:c r="E268" s="14" t="str">
        <x:v>jungli badam phal, indian almond fruit</x:v>
      </x:c>
      <x:c r="F268" s="14" t="str">
        <x:v>Known varieties/types: Shalimar, Waris, Makhdoom, California imported types, Kashmir almond selections</x:v>
      </x:c>
      <x:c r="G268" s="14" t="str">
        <x:v>Jammu &amp; Kashmir: Pulwama, Budgam, Srinagar; Himachal Pradesh: Kinnaur, Lahaul-Spiti; Ladakh: Leh, Kargil; imported arrivals in major dry-fruit markets</x:v>
      </x:c>
      <x:c r="H268" s="31" t="str">
        <x:v>Carton, tin, vacuum pouch inside carton, or HDPE/jute sack for bulk lots</x:v>
      </x:c>
      <x:c r="I268" s="31" t="str">
        <x:v>₹/kg, ₹/carton, or ₹/bag</x:v>
      </x:c>
      <x:c r="J268" s="31" t="str">
        <x:v>Dry fruit/nut cartons commonly 5-25 kg; raw nut bags may be 25-50 kg</x:v>
      </x:c>
      <x:c r="K268" s="31" t="str">
        <x:v>Normalize to ₹/kg. If carton/bag quote is given, ₹/kg = pack price ÷ net kg; keep grade/size count separately.</x:v>
      </x:c>
      <x:c r="L268" s="31" t="str">
        <x:v>₹/kg</x:v>
      </x:c>
    </x:row>
    <x:row r="269" ht="74" customHeight="1">
      <x:c r="A269" s="14" t="str">
        <x:v>P0268</x:v>
      </x:c>
      <x:c r="B269" s="14" t="str">
        <x:v>ADDITIONAL VEGETABLES</x:v>
      </x:c>
      <x:c r="C269" s="14" t="str">
        <x:v>French Beans</x:v>
      </x:c>
      <x:c r="D269" s="14" t="str">
        <x:v>फ्रेंच बीन्स</x:v>
      </x:c>
      <x:c r="E269" s="14" t="str">
        <x:v>french beans, beans</x:v>
      </x:c>
      <x:c r="F269" s="14" t="str">
        <x:v>Known varieties/types: Contender, Arka Komal, Premier, bush and pole beans</x:v>
      </x:c>
      <x:c r="G269" s="14" t="str">
        <x:v>Karnataka: Kolar, Chikkaballapur, Bengaluru Rural; Maharashtra: Pune, Nashik; Himachal: Solan, Sirmaur; Uttarakhand: Nainital; Tamil Nadu: Nilgiris, Krishnagiri</x:v>
      </x:c>
      <x:c r="H269" s="31" t="str">
        <x:v>Plastic crate, bamboo basket, gunny/HDPE sack, mesh bag, or loose lot</x:v>
      </x:c>
      <x:c r="I269" s="31" t="str">
        <x:v>₹/kg, ₹/crate, ₹/bag, ₹/piece, or lot rate</x:v>
      </x:c>
      <x:c r="J269" s="31" t="str">
        <x:v>Typical vegetable crates/bags are 10-30 kg; heavier sacks may be 40-50 kg</x:v>
      </x:c>
      <x:c r="K269" s="31" t="str">
        <x:v>Normalize to ₹/kg. If quoted per crate/bag, use actual net weight after tare. Keep grade/size/quality note with quote.</x:v>
      </x:c>
      <x:c r="L269" s="31" t="str">
        <x:v>₹/kg</x:v>
      </x:c>
    </x:row>
    <x:row r="270" ht="74" customHeight="1">
      <x:c r="A270" s="14" t="str">
        <x:v>P0269</x:v>
      </x:c>
      <x:c r="B270" s="14" t="str">
        <x:v>ADDITIONAL VEGETABLES</x:v>
      </x:c>
      <x:c r="C270" s="14" t="str">
        <x:v>Broad Beans</x:v>
      </x:c>
      <x:c r="D270" s="14" t="str">
        <x:v>बाकला / सेम</x:v>
      </x:c>
      <x:c r="E270" s="14" t="str">
        <x:v>bakla / sem, broad beans, fava beans</x:v>
      </x:c>
      <x:c r="F270" s="14" t="str">
        <x:v>Known varieties/types: local sem/papdi/bakla types; pole and bush types</x:v>
      </x:c>
      <x:c r="G270" s="14" t="str">
        <x:v>Gujarat: Surat/Navsari papdi belts; Maharashtra: Pune, Nashik; Karnataka: Bengaluru Rural/Kolar; Tamil Nadu/Kerala winter vegetable belts; UP/Haryana pockets</x:v>
      </x:c>
      <x:c r="H270" s="31" t="str">
        <x:v>Plastic crate, bamboo basket, gunny/HDPE sack, mesh bag, or loose lot</x:v>
      </x:c>
      <x:c r="I270" s="31" t="str">
        <x:v>₹/kg, ₹/crate, ₹/bag, ₹/piece, or lot rate</x:v>
      </x:c>
      <x:c r="J270" s="31" t="str">
        <x:v>Typical vegetable crates/bags are 10-30 kg; heavier sacks may be 40-50 kg</x:v>
      </x:c>
      <x:c r="K270" s="31" t="str">
        <x:v>Normalize to ₹/kg. If quoted per crate/bag, use actual net weight after tare. Keep grade/size/quality note with quote.</x:v>
      </x:c>
      <x:c r="L270" s="31" t="str">
        <x:v>₹/kg</x:v>
      </x:c>
    </x:row>
    <x:row r="271" ht="74" customHeight="1">
      <x:c r="A271" s="14" t="str">
        <x:v>P0270</x:v>
      </x:c>
      <x:c r="B271" s="14" t="str">
        <x:v>ADDITIONAL VEGETABLES</x:v>
      </x:c>
      <x:c r="C271" s="14" t="str">
        <x:v>Flat Beans</x:v>
      </x:c>
      <x:c r="D271" s="14" t="str">
        <x:v>सेम फली</x:v>
      </x:c>
      <x:c r="E271" s="14" t="str">
        <x:v>sem phali, flat beans, valor</x:v>
      </x:c>
      <x:c r="F271" s="14" t="str">
        <x:v>Known varieties/types: local sem/papdi/bakla types; pole and bush types</x:v>
      </x:c>
      <x:c r="G271" s="14" t="str">
        <x:v>Gujarat: Surat/Navsari papdi belts; Maharashtra: Pune, Nashik; Karnataka: Bengaluru Rural/Kolar; Tamil Nadu/Kerala winter vegetable belts; UP/Haryana pockets</x:v>
      </x:c>
      <x:c r="H271" s="31" t="str">
        <x:v>Plastic crate, bamboo basket, gunny/HDPE sack, mesh bag, or loose lot</x:v>
      </x:c>
      <x:c r="I271" s="31" t="str">
        <x:v>₹/kg, ₹/crate, ₹/bag, ₹/piece, or lot rate</x:v>
      </x:c>
      <x:c r="J271" s="31" t="str">
        <x:v>Typical vegetable crates/bags are 10-30 kg; heavier sacks may be 40-50 kg</x:v>
      </x:c>
      <x:c r="K271" s="31" t="str">
        <x:v>Normalize to ₹/kg. If quoted per crate/bag, use actual net weight after tare. Keep grade/size/quality note with quote.</x:v>
      </x:c>
      <x:c r="L271" s="31" t="str">
        <x:v>₹/kg</x:v>
      </x:c>
    </x:row>
    <x:row r="272" ht="74" customHeight="1">
      <x:c r="A272" s="14" t="str">
        <x:v>P0271</x:v>
      </x:c>
      <x:c r="B272" s="14" t="str">
        <x:v>ADDITIONAL VEGETABLES</x:v>
      </x:c>
      <x:c r="C272" s="14" t="str">
        <x:v>Hyacinth Beans</x:v>
      </x:c>
      <x:c r="D272" s="14" t="str">
        <x:v>सेम / वाल</x:v>
      </x:c>
      <x:c r="E272" s="14" t="str">
        <x:v>sem / vaal, hyacinth beans</x:v>
      </x:c>
      <x:c r="F272" s="14" t="str">
        <x:v>Known varieties/types: local sem/papdi/bakla types; pole and bush types</x:v>
      </x:c>
      <x:c r="G272" s="14" t="str">
        <x:v>Gujarat: Surat/Navsari papdi belts; Maharashtra: Pune, Nashik; Karnataka: Bengaluru Rural/Kolar; Tamil Nadu/Kerala winter vegetable belts; UP/Haryana pockets</x:v>
      </x:c>
      <x:c r="H272" s="31" t="str">
        <x:v>Plastic crate, bamboo basket, gunny/HDPE sack, mesh bag, or loose lot</x:v>
      </x:c>
      <x:c r="I272" s="31" t="str">
        <x:v>₹/kg, ₹/crate, ₹/bag, ₹/piece, or lot rate</x:v>
      </x:c>
      <x:c r="J272" s="31" t="str">
        <x:v>Typical vegetable crates/bags are 10-30 kg; heavier sacks may be 40-50 kg</x:v>
      </x:c>
      <x:c r="K272" s="31" t="str">
        <x:v>Normalize to ₹/kg. If quoted per crate/bag, use actual net weight after tare. Keep grade/size/quality note with quote.</x:v>
      </x:c>
      <x:c r="L272" s="31" t="str">
        <x:v>₹/kg</x:v>
      </x:c>
    </x:row>
    <x:row r="273" ht="74" customHeight="1">
      <x:c r="A273" s="14" t="str">
        <x:v>P0272</x:v>
      </x:c>
      <x:c r="B273" s="14" t="str">
        <x:v>ADDITIONAL VEGETABLES</x:v>
      </x:c>
      <x:c r="C273" s="14" t="str">
        <x:v>Chow Chow / Chayote</x:v>
      </x:c>
      <x:c r="D273" s="14" t="str">
        <x:v>चौ-चौ / इस्कूस</x:v>
      </x:c>
      <x:c r="E273" s="14" t="str">
        <x:v>chow chow / iskus, chayote, chow chow</x:v>
      </x:c>
      <x:c r="F273" s="14" t="str">
        <x:v>Known varieties/types: green and white chow-chow/chayote local types</x:v>
      </x:c>
      <x:c r="G273" s="14" t="str">
        <x:v>Tamil Nadu: Nilgiris, Dindigul/Kodaikanal; Karnataka: Kodagu, Chikkamagaluru; Meghalaya, Sikkim, Manipur and North East hill belts</x:v>
      </x:c>
      <x:c r="H273" s="31" t="str">
        <x:v>Plastic crate, bamboo basket, gunny/HDPE sack, mesh bag, or loose lot</x:v>
      </x:c>
      <x:c r="I273" s="31" t="str">
        <x:v>₹/kg, ₹/crate, ₹/bag, ₹/piece, or lot rate</x:v>
      </x:c>
      <x:c r="J273" s="31" t="str">
        <x:v>Typical vegetable crates/bags are 10-30 kg; heavier sacks may be 40-50 kg</x:v>
      </x:c>
      <x:c r="K273" s="31" t="str">
        <x:v>Normalize to ₹/kg. If quoted per crate/bag, use actual net weight after tare. Keep grade/size/quality note with quote.</x:v>
      </x:c>
      <x:c r="L273" s="31" t="str">
        <x:v>₹/kg</x:v>
      </x:c>
    </x:row>
    <x:row r="274" ht="74" customHeight="1">
      <x:c r="A274" s="14" t="str">
        <x:v>P0273</x:v>
      </x:c>
      <x:c r="B274" s="14" t="str">
        <x:v>ADDITIONAL VEGETABLES</x:v>
      </x:c>
      <x:c r="C274" s="14" t="str">
        <x:v>Spine Gourd</x:v>
      </x:c>
      <x:c r="D274" s="14" t="str">
        <x:v>ककोड़ा</x:v>
      </x:c>
      <x:c r="E274" s="14" t="str">
        <x:v>kakoda, spine gourd, kantola</x:v>
      </x:c>
      <x:c r="F274" s="14" t="str">
        <x:v>Known varieties/types: local kakora/kantola types; cultivar names less common</x:v>
      </x:c>
      <x:c r="G274" s="14" t="str">
        <x:v>Maharashtra, Gujarat, Rajasthan, Madhya Pradesh, Chhattisgarh and Uttar Pradesh forest/dryland belts; common arrivals from Nashik, Surat, Jaipur, Indore, Raipur and Lucknow</x:v>
      </x:c>
      <x:c r="H274" s="31" t="str">
        <x:v>Plastic crate, bamboo basket, gunny/HDPE sack, mesh bag, or loose lot</x:v>
      </x:c>
      <x:c r="I274" s="31" t="str">
        <x:v>₹/kg, ₹/crate, ₹/bag, ₹/piece, or lot rate</x:v>
      </x:c>
      <x:c r="J274" s="31" t="str">
        <x:v>Typical vegetable crates/bags are 10-30 kg; heavier sacks may be 40-50 kg</x:v>
      </x:c>
      <x:c r="K274" s="31" t="str">
        <x:v>Normalize to ₹/kg. If quoted per crate/bag, use actual net weight after tare. Keep grade/size/quality note with quote.</x:v>
      </x:c>
      <x:c r="L274" s="31" t="str">
        <x:v>₹/kg</x:v>
      </x:c>
    </x:row>
    <x:row r="275" ht="74" customHeight="1">
      <x:c r="A275" s="14" t="str">
        <x:v>P0274</x:v>
      </x:c>
      <x:c r="B275" s="14" t="str">
        <x:v>ADDITIONAL VEGETABLES</x:v>
      </x:c>
      <x:c r="C275" s="14" t="str">
        <x:v>Teasel Gourd</x:v>
      </x:c>
      <x:c r="D275" s="14" t="str">
        <x:v>ककोरा</x:v>
      </x:c>
      <x:c r="E275" s="14" t="str">
        <x:v>kakora, teasel gourd, kakrol</x:v>
      </x:c>
      <x:c r="F275" s="14" t="str">
        <x:v>Known varieties/types: Assamica, China jat, clonal tea, orthodox, CTC, green tea, white tea grades</x:v>
      </x:c>
      <x:c r="G275" s="14" t="str">
        <x:v>Assam: Dibrugarh, Tinsukia, Jorhat; West Bengal: Darjeeling, Jalpaiguri, Dooars; Tamil Nadu: Nilgiris, Coimbatore; Kerala: Idukki, Wayanad; Karnataka: Chikkamagaluru; Tripura tea belts</x:v>
      </x:c>
      <x:c r="H275" s="31" t="str">
        <x:v>Plastic crate, bamboo basket, gunny/HDPE sack, mesh bag, or loose lot</x:v>
      </x:c>
      <x:c r="I275" s="31" t="str">
        <x:v>₹/kg, ₹/crate, ₹/bag, ₹/piece, or lot rate</x:v>
      </x:c>
      <x:c r="J275" s="31" t="str">
        <x:v>Typical vegetable crates/bags are 10-30 kg; heavier sacks may be 40-50 kg</x:v>
      </x:c>
      <x:c r="K275" s="31" t="str">
        <x:v>Normalize to ₹/kg. If quoted per crate/bag, use actual net weight after tare. Keep grade/size/quality note with quote.</x:v>
      </x:c>
      <x:c r="L275" s="31" t="str">
        <x:v>₹/kg</x:v>
      </x:c>
    </x:row>
    <x:row r="276" ht="74" customHeight="1">
      <x:c r="A276" s="14" t="str">
        <x:v>P0275</x:v>
      </x:c>
      <x:c r="B276" s="14" t="str">
        <x:v>ADDITIONAL VEGETABLES</x:v>
      </x:c>
      <x:c r="C276" s="14" t="str">
        <x:v>Round Gourd</x:v>
      </x:c>
      <x:c r="D276" s="14" t="str">
        <x:v>टिंडा</x:v>
      </x:c>
      <x:c r="E276" s="14" t="str">
        <x:v>tinda, round gourd, apple gourd</x:v>
      </x:c>
      <x:c r="F276" s="14" t="str">
        <x:v>Known varieties/types: Royal Delicious, Red Delicious, Golden Delicious, Ambri, Gala, Fuji, Granny Smith, Red Chief, Spur types</x:v>
      </x:c>
      <x:c r="G276" s="14" t="str">
        <x:v>Jammu &amp; Kashmir: Shopian, Anantnag, Pulwama, Kulgam, Baramulla; Himachal Pradesh: Kinnaur, Shimla, Kullu, Mandi; Uttarakhand: Nainital, Almora; Arunachal/Sikkim hill pockets</x:v>
      </x:c>
      <x:c r="H276" s="31" t="str">
        <x:v>Plastic crate, bamboo basket, gunny/HDPE sack, mesh bag, or loose lot</x:v>
      </x:c>
      <x:c r="I276" s="31" t="str">
        <x:v>₹/kg, ₹/crate, ₹/bag, ₹/piece, or lot rate</x:v>
      </x:c>
      <x:c r="J276" s="31" t="str">
        <x:v>Typical vegetable crates/bags are 10-30 kg; heavier sacks may be 40-50 kg</x:v>
      </x:c>
      <x:c r="K276" s="31" t="str">
        <x:v>Normalize to ₹/kg. If quoted per crate/bag, use actual net weight after tare. Keep grade/size/quality note with quote.</x:v>
      </x:c>
      <x:c r="L276" s="31" t="str">
        <x:v>₹/kg</x:v>
      </x:c>
    </x:row>
    <x:row r="277" ht="74" customHeight="1">
      <x:c r="A277" s="14" t="str">
        <x:v>P0276</x:v>
      </x:c>
      <x:c r="B277" s="14" t="str">
        <x:v>ADDITIONAL VEGETABLES</x:v>
      </x:c>
      <x:c r="C277" s="14" t="str">
        <x:v>Ash Gourd</x:v>
      </x:c>
      <x:c r="D277" s="14" t="str">
        <x:v>पेठा</x:v>
      </x:c>
      <x:c r="E277" s="14" t="str">
        <x:v>petha, ash gourd, winter melon</x:v>
      </x:c>
      <x:c r="F277" s="14" t="str">
        <x:v>Known varieties/types: CO-1, local petha/ash gourd types</x:v>
      </x:c>
      <x:c r="G277" s="14" t="str">
        <x:v>Uttar Pradesh/Bihar petha and vegetable belts, Karnataka/Tamil Nadu/Kerala warm belts, West Bengal/Odisha; known arrivals from Agra, Patna, Kolar, Coimbatore and Cuttack</x:v>
      </x:c>
      <x:c r="H277" s="31" t="str">
        <x:v>Plastic crate, bamboo basket, gunny/HDPE sack, mesh bag, or loose lot</x:v>
      </x:c>
      <x:c r="I277" s="31" t="str">
        <x:v>₹/kg, ₹/crate, ₹/bag, ₹/piece, or lot rate</x:v>
      </x:c>
      <x:c r="J277" s="31" t="str">
        <x:v>Typical vegetable crates/bags are 10-30 kg; heavier sacks may be 40-50 kg</x:v>
      </x:c>
      <x:c r="K277" s="31" t="str">
        <x:v>Normalize to ₹/kg. If quoted per crate/bag, use actual net weight after tare. Keep grade/size/quality note with quote.</x:v>
      </x:c>
      <x:c r="L277" s="31" t="str">
        <x:v>₹/kg</x:v>
      </x:c>
    </x:row>
    <x:row r="278" ht="74" customHeight="1">
      <x:c r="A278" s="14" t="str">
        <x:v>P0277</x:v>
      </x:c>
      <x:c r="B278" s="14" t="str">
        <x:v>ADDITIONAL VEGETABLES</x:v>
      </x:c>
      <x:c r="C278" s="14" t="str">
        <x:v>Drumstick Leaves</x:v>
      </x:c>
      <x:c r="D278" s="14" t="str">
        <x:v>सहजन पत्ता</x:v>
      </x:c>
      <x:c r="E278" s="14" t="str">
        <x:v>sahjan patta, moringa leaves</x:v>
      </x:c>
      <x:c r="F278" s="14" t="str">
        <x:v>Known varieties/types: PKM moringa leaf types and local leaf moringa selections</x:v>
      </x:c>
      <x:c r="G278" s="14" t="str">
        <x:v>Tamil Nadu: Dindigul/Coimbatore/Theni; Andhra/Karnataka/Maharashtra dryland and peri-urban belts; leaf harvest near major southern cities</x:v>
      </x:c>
      <x:c r="H278" s="31" t="str">
        <x:v>Bunches/bundles in plastic crate, bamboo basket, sack, or moist-lined carton</x:v>
      </x:c>
      <x:c r="I278" s="31" t="str">
        <x:v>₹/bunch, ₹/bundle, ₹/kg, or ₹/crate</x:v>
      </x:c>
      <x:c r="J278" s="31" t="str">
        <x:v>Bundle size varies heavily; capture bunch count and sample bundle weight</x:v>
      </x:c>
      <x:c r="K278" s="31" t="str">
        <x:v>Value by bunch if market quote is bunch-based. For analytics, normalize to ₹/kg only after sample weighing: ₹/kg = crate/bundle lot price ÷ net kg.</x:v>
      </x:c>
      <x:c r="L278" s="31" t="str">
        <x:v>₹/bunch and ₹/kg</x:v>
      </x:c>
    </x:row>
    <x:row r="279" ht="74" customHeight="1">
      <x:c r="A279" s="14" t="str">
        <x:v>P0278</x:v>
      </x:c>
      <x:c r="B279" s="14" t="str">
        <x:v>ADDITIONAL VEGETABLES</x:v>
      </x:c>
      <x:c r="C279" s="14" t="str">
        <x:v>Colocasia Leaves</x:v>
      </x:c>
      <x:c r="D279" s="14" t="str">
        <x:v>अरबी पत्ता</x:v>
      </x:c>
      <x:c r="E279" s="14" t="str">
        <x:v>arbi patta, colocasia leaves, taro leaves</x:v>
      </x:c>
      <x:c r="F279" s="14" t="str">
        <x:v>Known varieties/types: Mukteshwar, local arbi/taro root and leaf types</x:v>
      </x:c>
      <x:c r="G279" s="14" t="str">
        <x:v>Uttar Pradesh, Bihar, Odisha, West Bengal, Maharashtra, Gujarat and Kerala humid/wet belts; areas include Varanasi, Patna, Cuttack, Nadia, Pune and Thrissur</x:v>
      </x:c>
      <x:c r="H279" s="31" t="str">
        <x:v>Bunches/bundles in plastic crate, bamboo basket, sack, or moist-lined carton</x:v>
      </x:c>
      <x:c r="I279" s="31" t="str">
        <x:v>₹/bunch, ₹/bundle, ₹/kg, or ₹/crate</x:v>
      </x:c>
      <x:c r="J279" s="31" t="str">
        <x:v>Bundle size varies heavily; capture bunch count and sample bundle weight</x:v>
      </x:c>
      <x:c r="K279" s="31" t="str">
        <x:v>Value by bunch if market quote is bunch-based. For analytics, normalize to ₹/kg only after sample weighing: ₹/kg = crate/bundle lot price ÷ net kg.</x:v>
      </x:c>
      <x:c r="L279" s="31" t="str">
        <x:v>₹/bunch and ₹/kg</x:v>
      </x:c>
    </x:row>
    <x:row r="280" ht="74" customHeight="1">
      <x:c r="A280" s="14" t="str">
        <x:v>P0279</x:v>
      </x:c>
      <x:c r="B280" s="14" t="str">
        <x:v>ADDITIONAL VEGETABLES</x:v>
      </x:c>
      <x:c r="C280" s="14" t="str">
        <x:v>Turnip</x:v>
      </x:c>
      <x:c r="D280" s="14" t="str">
        <x:v>शलगम</x:v>
      </x:c>
      <x:c r="E280" s="14" t="str">
        <x:v>shalgam, turnip</x:v>
      </x:c>
      <x:c r="F280" s="14" t="str">
        <x:v>Known varieties/types: Purple Top White Globe, Pusa Sweti, local shalgam types</x:v>
      </x:c>
      <x:c r="G280" s="14" t="str">
        <x:v>Punjab, Haryana, Uttar Pradesh, Himachal Pradesh, Uttarakhand and Kashmir winter vegetable belts; areas include Ludhiana, Karnal, Meerut, Solan, Dehradun and Srinagar</x:v>
      </x:c>
      <x:c r="H280" s="31" t="str">
        <x:v>Plastic crate, gunny/HDPE bag, mesh bag, or loose basket depending on crop</x:v>
      </x:c>
      <x:c r="I280" s="31" t="str">
        <x:v>₹/kg, ₹/crate, ₹/bag, or bunch/count for small roots</x:v>
      </x:c>
      <x:c r="J280" s="31" t="str">
        <x:v>Usually 10-50 kg depending on root/tuber and distance; capture actual net weight</x:v>
      </x:c>
      <x:c r="K280" s="31" t="str">
        <x:v>Normalize to ₹/kg. For bag/crate quotes, ₹/kg = pack price ÷ net kg after tare.</x:v>
      </x:c>
      <x:c r="L280" s="31" t="str">
        <x:v>₹/kg</x:v>
      </x:c>
    </x:row>
    <x:row r="281" ht="74" customHeight="1">
      <x:c r="A281" s="14" t="str">
        <x:v>P0280</x:v>
      </x:c>
      <x:c r="B281" s="14" t="str">
        <x:v>ADDITIONAL VEGETABLES</x:v>
      </x:c>
      <x:c r="C281" s="14" t="str">
        <x:v>Leek</x:v>
      </x:c>
      <x:c r="D281" s="14" t="str">
        <x:v>लीक</x:v>
      </x:c>
      <x:c r="E281" s="14" t="str">
        <x:v>leek</x:v>
      </x:c>
      <x:c r="F281" s="14" t="str">
        <x:v>Known varieties/types: Musselburgh, American Flag, local leek types; niche cultivation</x:v>
      </x:c>
      <x:c r="G281" s="14" t="str">
        <x:v>Himachal/Uttarakhand cool belts, Kashmir valley, Nilgiris and protected farms around Delhi NCR, Pune and Bengaluru</x:v>
      </x:c>
      <x:c r="H281" s="31" t="str">
        <x:v>Plastic crate, bamboo basket, gunny/HDPE sack, mesh bag, or loose lot</x:v>
      </x:c>
      <x:c r="I281" s="31" t="str">
        <x:v>₹/kg, ₹/crate, ₹/bag, ₹/piece, or lot rate</x:v>
      </x:c>
      <x:c r="J281" s="31" t="str">
        <x:v>Typical vegetable crates/bags are 10-30 kg; heavier sacks may be 40-50 kg</x:v>
      </x:c>
      <x:c r="K281" s="31" t="str">
        <x:v>Normalize to ₹/kg. If quoted per crate/bag, use actual net weight after tare. Keep grade/size/quality note with quote.</x:v>
      </x:c>
      <x:c r="L281" s="31" t="str">
        <x:v>₹/kg</x:v>
      </x:c>
    </x:row>
    <x:row r="282" ht="74" customHeight="1">
      <x:c r="A282" s="14" t="str">
        <x:v>P0281</x:v>
      </x:c>
      <x:c r="B282" s="14" t="str">
        <x:v>ADDITIONAL VEGETABLES</x:v>
      </x:c>
      <x:c r="C282" s="14" t="str">
        <x:v>Lettuce</x:v>
      </x:c>
      <x:c r="D282" s="14" t="str">
        <x:v>सलाद पत्ता</x:v>
      </x:c>
      <x:c r="E282" s="14" t="str">
        <x:v>salad patta, lettuce</x:v>
      </x:c>
      <x:c r="F282" s="14" t="str">
        <x:v>Known varieties/types: Iceberg, Romaine, Butterhead, Lollo Rosso, Leaf lettuce</x:v>
      </x:c>
      <x:c r="G282" s="14" t="str">
        <x:v>Himachal Pradesh: Solan, Sirmaur; Uttarakhand: Dehradun, Nainital; Maharashtra: Pune, Nashik; Karnataka: Bengaluru Rural; Haryana/Delhi NCR protected cultivation; Tamil Nadu Nilgiris</x:v>
      </x:c>
      <x:c r="H282" s="31" t="str">
        <x:v>Plastic crate, bamboo basket, gunny/HDPE sack, mesh bag, or loose lot</x:v>
      </x:c>
      <x:c r="I282" s="31" t="str">
        <x:v>₹/kg, ₹/crate, ₹/bag, ₹/piece, or lot rate</x:v>
      </x:c>
      <x:c r="J282" s="31" t="str">
        <x:v>Typical vegetable crates/bags are 10-30 kg; heavier sacks may be 40-50 kg</x:v>
      </x:c>
      <x:c r="K282" s="31" t="str">
        <x:v>Normalize to ₹/kg. If quoted per crate/bag, use actual net weight after tare. Keep grade/size/quality note with quote.</x:v>
      </x:c>
      <x:c r="L282" s="31" t="str">
        <x:v>₹/kg</x:v>
      </x:c>
    </x:row>
    <x:row r="283" ht="74" customHeight="1">
      <x:c r="A283" s="14" t="str">
        <x:v>P0282</x:v>
      </x:c>
      <x:c r="B283" s="14" t="str">
        <x:v>ADDITIONAL VEGETABLES</x:v>
      </x:c>
      <x:c r="C283" s="14" t="str">
        <x:v>Iceberg Lettuce</x:v>
      </x:c>
      <x:c r="D283" s="14" t="str">
        <x:v>आइसबर्ग लेट्यूस</x:v>
      </x:c>
      <x:c r="E283" s="14" t="str">
        <x:v>iceberg lettuce</x:v>
      </x:c>
      <x:c r="F283" s="14" t="str">
        <x:v>Known varieties/types: Umran, Gola, Seb, Banarasi Karaka, Kaithali, Mehrun</x:v>
      </x:c>
      <x:c r="G283" s="14" t="str">
        <x:v>Rajasthan: Jaipur, Ajmer, Jodhpur, Barmer; Haryana: Hisar, Bhiwani; Punjab: Abohar, Fazilka; Gujarat: Kutch, Banaskantha; Maharashtra dry belts</x:v>
      </x:c>
      <x:c r="H283" s="31" t="str">
        <x:v>Plastic crate, bamboo basket, gunny/HDPE sack, mesh bag, or loose lot</x:v>
      </x:c>
      <x:c r="I283" s="31" t="str">
        <x:v>₹/kg, ₹/crate, ₹/bag, ₹/piece, or lot rate</x:v>
      </x:c>
      <x:c r="J283" s="31" t="str">
        <x:v>Typical vegetable crates/bags are 10-30 kg; heavier sacks may be 40-50 kg</x:v>
      </x:c>
      <x:c r="K283" s="31" t="str">
        <x:v>Normalize to ₹/kg. If quoted per crate/bag, use actual net weight after tare. Keep grade/size/quality note with quote.</x:v>
      </x:c>
      <x:c r="L283" s="31" t="str">
        <x:v>₹/kg</x:v>
      </x:c>
    </x:row>
    <x:row r="284" ht="74" customHeight="1">
      <x:c r="A284" s="14" t="str">
        <x:v>P0283</x:v>
      </x:c>
      <x:c r="B284" s="14" t="str">
        <x:v>ADDITIONAL VEGETABLES</x:v>
      </x:c>
      <x:c r="C284" s="14" t="str">
        <x:v>Romaine Lettuce</x:v>
      </x:c>
      <x:c r="D284" s="14" t="str">
        <x:v>रोमेन लेट्यूस</x:v>
      </x:c>
      <x:c r="E284" s="14" t="str">
        <x:v>romaine lettuce</x:v>
      </x:c>
      <x:c r="F284" s="14" t="str">
        <x:v>Known varieties/types: Iceberg, Romaine, Butterhead, Lollo Rosso, Leaf lettuce</x:v>
      </x:c>
      <x:c r="G284" s="14" t="str">
        <x:v>Himachal Pradesh: Solan, Sirmaur; Uttarakhand: Dehradun, Nainital; Maharashtra: Pune, Nashik; Karnataka: Bengaluru Rural; Haryana/Delhi NCR protected cultivation; Tamil Nadu Nilgiris</x:v>
      </x:c>
      <x:c r="H284" s="31" t="str">
        <x:v>Plastic crate, bamboo basket, gunny/HDPE sack, mesh bag, or loose lot</x:v>
      </x:c>
      <x:c r="I284" s="31" t="str">
        <x:v>₹/kg, ₹/crate, ₹/bag, ₹/piece, or lot rate</x:v>
      </x:c>
      <x:c r="J284" s="31" t="str">
        <x:v>Typical vegetable crates/bags are 10-30 kg; heavier sacks may be 40-50 kg</x:v>
      </x:c>
      <x:c r="K284" s="31" t="str">
        <x:v>Normalize to ₹/kg. If quoted per crate/bag, use actual net weight after tare. Keep grade/size/quality note with quote.</x:v>
      </x:c>
      <x:c r="L284" s="31" t="str">
        <x:v>₹/kg</x:v>
      </x:c>
    </x:row>
    <x:row r="285" ht="74" customHeight="1">
      <x:c r="A285" s="14" t="str">
        <x:v>P0284</x:v>
      </x:c>
      <x:c r="B285" s="14" t="str">
        <x:v>ADDITIONAL VEGETABLES</x:v>
      </x:c>
      <x:c r="C285" s="14" t="str">
        <x:v>Kale</x:v>
      </x:c>
      <x:c r="D285" s="14" t="str">
        <x:v>केल</x:v>
      </x:c>
      <x:c r="E285" s="14" t="str">
        <x:v>kale</x:v>
      </x:c>
      <x:c r="F285" s="14" t="str">
        <x:v>Known varieties/types: curly kale, Tuscan/lacinato kale, red Russian kale</x:v>
      </x:c>
      <x:c r="G285" s="14" t="str">
        <x:v>Niche salad/protected cultivation around Delhi NCR, Pune/Nashik, Bengaluru/Kolar, Himachal/Uttarakhand hills and Tamil Nadu Nilgiris</x:v>
      </x:c>
      <x:c r="H285" s="31" t="str">
        <x:v>Plastic crate, bamboo basket, gunny/HDPE sack, mesh bag, or loose lot</x:v>
      </x:c>
      <x:c r="I285" s="31" t="str">
        <x:v>₹/kg, ₹/crate, ₹/bag, ₹/piece, or lot rate</x:v>
      </x:c>
      <x:c r="J285" s="31" t="str">
        <x:v>Typical vegetable crates/bags are 10-30 kg; heavier sacks may be 40-50 kg</x:v>
      </x:c>
      <x:c r="K285" s="31" t="str">
        <x:v>Normalize to ₹/kg. If quoted per crate/bag, use actual net weight after tare. Keep grade/size/quality note with quote.</x:v>
      </x:c>
      <x:c r="L285" s="31" t="str">
        <x:v>₹/kg</x:v>
      </x:c>
    </x:row>
    <x:row r="286" ht="74" customHeight="1">
      <x:c r="A286" s="14" t="str">
        <x:v>P0285</x:v>
      </x:c>
      <x:c r="B286" s="14" t="str">
        <x:v>ADDITIONAL VEGETABLES</x:v>
      </x:c>
      <x:c r="C286" s="14" t="str">
        <x:v>Bok Choy</x:v>
      </x:c>
      <x:c r="D286" s="14" t="str">
        <x:v>बोक चॉय</x:v>
      </x:c>
      <x:c r="E286" s="14" t="str">
        <x:v>bok choy</x:v>
      </x:c>
      <x:c r="F286" s="14" t="str">
        <x:v>Known varieties/types: baby bok choy, pak choi, white/green stem types</x:v>
      </x:c>
      <x:c r="G286" s="14" t="str">
        <x:v>Niche Asian-green cultivation around Delhi NCR, Bengaluru, Pune, Hyderabad, Himachal and North East peri-urban/protected farms</x:v>
      </x:c>
      <x:c r="H286" s="31" t="str">
        <x:v>Plastic crate, bamboo basket, gunny/HDPE sack, mesh bag, or loose lot</x:v>
      </x:c>
      <x:c r="I286" s="31" t="str">
        <x:v>₹/kg, ₹/crate, ₹/bag, ₹/piece, or lot rate</x:v>
      </x:c>
      <x:c r="J286" s="31" t="str">
        <x:v>Typical vegetable crates/bags are 10-30 kg; heavier sacks may be 40-50 kg</x:v>
      </x:c>
      <x:c r="K286" s="31" t="str">
        <x:v>Normalize to ₹/kg. If quoted per crate/bag, use actual net weight after tare. Keep grade/size/quality note with quote.</x:v>
      </x:c>
      <x:c r="L286" s="31" t="str">
        <x:v>₹/kg</x:v>
      </x:c>
    </x:row>
    <x:row r="287" ht="74" customHeight="1">
      <x:c r="A287" s="14" t="str">
        <x:v>P0286</x:v>
      </x:c>
      <x:c r="B287" s="14" t="str">
        <x:v>ADDITIONAL VEGETABLES</x:v>
      </x:c>
      <x:c r="C287" s="14" t="str">
        <x:v>Chinese Cabbage</x:v>
      </x:c>
      <x:c r="D287" s="14" t="str">
        <x:v>चाइनीज पत्ता गोभी</x:v>
      </x:c>
      <x:c r="E287" s="14" t="str">
        <x:v>chinese patta gobhi, chinese cabbage, napa cabbage</x:v>
      </x:c>
      <x:c r="F287" s="14" t="str">
        <x:v>Known varieties/types: Golden Acre, Pride of India, Copenhagen Market, red cabbage, Chinese cabbage, pointed cabbage</x:v>
      </x:c>
      <x:c r="G287" s="14" t="str">
        <x:v>West Bengal: Hooghly, Nadia, North 24 Parganas; Karnataka: Kolar, Chikkaballapur; Maharashtra: Nashik, Pune; Himachal: Solan, Sirmaur; Tamil Nadu: Nilgiris, Krishnagiri; Bihar/UP winter belts</x:v>
      </x:c>
      <x:c r="H287" s="31" t="str">
        <x:v>Plastic crate, bamboo basket, gunny/HDPE sack, mesh bag, or loose lot</x:v>
      </x:c>
      <x:c r="I287" s="31" t="str">
        <x:v>₹/kg, ₹/crate, ₹/bag, ₹/piece, or lot rate</x:v>
      </x:c>
      <x:c r="J287" s="31" t="str">
        <x:v>Typical vegetable crates/bags are 10-30 kg; heavier sacks may be 40-50 kg</x:v>
      </x:c>
      <x:c r="K287" s="31" t="str">
        <x:v>Normalize to ₹/kg. If quoted per crate/bag, use actual net weight after tare. Keep grade/size/quality note with quote.</x:v>
      </x:c>
      <x:c r="L287" s="31" t="str">
        <x:v>₹/kg</x:v>
      </x:c>
    </x:row>
    <x:row r="288" ht="74" customHeight="1">
      <x:c r="A288" s="14" t="str">
        <x:v>P0287</x:v>
      </x:c>
      <x:c r="B288" s="14" t="str">
        <x:v>ADDITIONAL VEGETABLES</x:v>
      </x:c>
      <x:c r="C288" s="14" t="str">
        <x:v>Zucchini</x:v>
      </x:c>
      <x:c r="D288" s="14" t="str">
        <x:v>ज़ुकीनी</x:v>
      </x:c>
      <x:c r="E288" s="14" t="str">
        <x:v>zucchini, courgette</x:v>
      </x:c>
      <x:c r="F288" s="14" t="str">
        <x:v>Known varieties/types: green zucchini, yellow zucchini, long squash hybrids</x:v>
      </x:c>
      <x:c r="G288" s="14" t="str">
        <x:v>Himachal, Uttarakhand, Maharashtra, Karnataka, Haryana/Delhi NCR and Tamil Nadu protected/cool vegetable belts; areas include Solan, Dehradun, Pune, Kolar, Sonipat and Nilgiris</x:v>
      </x:c>
      <x:c r="H288" s="31" t="str">
        <x:v>Plastic crate, bamboo basket, gunny/HDPE sack, mesh bag, or loose lot</x:v>
      </x:c>
      <x:c r="I288" s="31" t="str">
        <x:v>₹/kg, ₹/crate, ₹/bag, ₹/piece, or lot rate</x:v>
      </x:c>
      <x:c r="J288" s="31" t="str">
        <x:v>Typical vegetable crates/bags are 10-30 kg; heavier sacks may be 40-50 kg</x:v>
      </x:c>
      <x:c r="K288" s="31" t="str">
        <x:v>Normalize to ₹/kg. If quoted per crate/bag, use actual net weight after tare. Keep grade/size/quality note with quote.</x:v>
      </x:c>
      <x:c r="L288" s="31" t="str">
        <x:v>₹/kg</x:v>
      </x:c>
    </x:row>
    <x:row r="289" ht="74" customHeight="1">
      <x:c r="A289" s="14" t="str">
        <x:v>P0288</x:v>
      </x:c>
      <x:c r="B289" s="14" t="str">
        <x:v>ADDITIONAL VEGETABLES</x:v>
      </x:c>
      <x:c r="C289" s="14" t="str">
        <x:v>Asparagus</x:v>
      </x:c>
      <x:c r="D289" s="14" t="str">
        <x:v>शतावरी / एस्पैरागस</x:v>
      </x:c>
      <x:c r="E289" s="14" t="str">
        <x:v>shatavari / asparagus, asparagus</x:v>
      </x:c>
      <x:c r="F289" s="14" t="str">
        <x:v>Known varieties/types: Mary Washington, UC-157, green asparagus types</x:v>
      </x:c>
      <x:c r="G289" s="14" t="str">
        <x:v>Niche farms in Maharashtra: Pune/Nashik; Karnataka: Bengaluru Rural/Kolar; Himachal/Uttarakhand and Haryana/Delhi NCR protected cultivation belts</x:v>
      </x:c>
      <x:c r="H289" s="31" t="str">
        <x:v>Plastic crate, bamboo basket, gunny/HDPE sack, mesh bag, or loose lot</x:v>
      </x:c>
      <x:c r="I289" s="31" t="str">
        <x:v>₹/kg, ₹/crate, ₹/bag, ₹/piece, or lot rate</x:v>
      </x:c>
      <x:c r="J289" s="31" t="str">
        <x:v>Typical vegetable crates/bags are 10-30 kg; heavier sacks may be 40-50 kg</x:v>
      </x:c>
      <x:c r="K289" s="31" t="str">
        <x:v>Normalize to ₹/kg. If quoted per crate/bag, use actual net weight after tare. Keep grade/size/quality note with quote.</x:v>
      </x:c>
      <x:c r="L289" s="31" t="str">
        <x:v>₹/kg</x:v>
      </x:c>
    </x:row>
    <x:row r="290" ht="74" customHeight="1">
      <x:c r="A290" s="14" t="str">
        <x:v>P0289</x:v>
      </x:c>
      <x:c r="B290" s="14" t="str">
        <x:v>ADDITIONAL VEGETABLES</x:v>
      </x:c>
      <x:c r="C290" s="14" t="str">
        <x:v>Artichoke</x:v>
      </x:c>
      <x:c r="D290" s="14" t="str">
        <x:v>आर्टिचोक</x:v>
      </x:c>
      <x:c r="E290" s="14" t="str">
        <x:v>artichoke</x:v>
      </x:c>
      <x:c r="F290" s="14" t="str">
        <x:v>Known varieties/types: Green Globe and niche artichoke types; Indian commercial variety data limited</x:v>
      </x:c>
      <x:c r="G290" s="14" t="str">
        <x:v>Niche protected/cool cultivation in Maharashtra, Karnataka, Himachal, Uttarakhand and Delhi/NCR; mainly restaurant-supply farms near Pune, Bengaluru, Solan and NCR</x:v>
      </x:c>
      <x:c r="H290" s="31" t="str">
        <x:v>Plastic crate, bamboo basket, gunny/HDPE sack, mesh bag, or loose lot</x:v>
      </x:c>
      <x:c r="I290" s="31" t="str">
        <x:v>₹/kg, ₹/crate, ₹/bag, ₹/piece, or lot rate</x:v>
      </x:c>
      <x:c r="J290" s="31" t="str">
        <x:v>Typical vegetable crates/bags are 10-30 kg; heavier sacks may be 40-50 kg</x:v>
      </x:c>
      <x:c r="K290" s="31" t="str">
        <x:v>Normalize to ₹/kg. If quoted per crate/bag, use actual net weight after tare. Keep grade/size/quality note with quote.</x:v>
      </x:c>
      <x:c r="L290" s="31" t="str">
        <x:v>₹/kg</x:v>
      </x:c>
    </x:row>
    <x:row r="291" ht="74" customHeight="1">
      <x:c r="A291" s="14" t="str">
        <x:v>P0290</x:v>
      </x:c>
      <x:c r="B291" s="14" t="str">
        <x:v>ADDITIONAL VEGETABLES</x:v>
      </x:c>
      <x:c r="C291" s="14" t="str">
        <x:v>Brussels Sprouts</x:v>
      </x:c>
      <x:c r="D291" s="14" t="str">
        <x:v>ब्रसेल्स स्प्राउट्स</x:v>
      </x:c>
      <x:c r="E291" s="14" t="str">
        <x:v>brussels sprouts</x:v>
      </x:c>
      <x:c r="F291" s="14" t="str">
        <x:v>Known varieties/types: Jade Cross, Long Island Improved; niche cultivation</x:v>
      </x:c>
      <x:c r="G291" s="14" t="str">
        <x:v>Niche cool/protected belts: Himachal Pradesh, Uttarakhand, Maharashtra, Karnataka and Delhi/NCR; arrivals from Solan, Dehradun, Pune, Kolar and NCR farms</x:v>
      </x:c>
      <x:c r="H291" s="31" t="str">
        <x:v>Small trays, punnets, poly packs, or carton lots</x:v>
      </x:c>
      <x:c r="I291" s="31" t="str">
        <x:v>₹/tray, ₹/pack, ₹/kg, or ₹/carton</x:v>
      </x:c>
      <x:c r="J291" s="31" t="str">
        <x:v>Tray/pack net weight varies; capture label weight or sample weight</x:v>
      </x:c>
      <x:c r="K291" s="31" t="str">
        <x:v>Keep pack quote and normalize only with net weight: ₹/kg = pack/carton price ÷ net kg.</x:v>
      </x:c>
      <x:c r="L291" s="31" t="str">
        <x:v>₹/kg or ₹/pack</x:v>
      </x:c>
    </x:row>
    <x:row r="292" ht="74" customHeight="1">
      <x:c r="A292" s="14" t="str">
        <x:v>P0291</x:v>
      </x:c>
      <x:c r="B292" s="14" t="str">
        <x:v>ADDITIONAL VEGETABLES</x:v>
      </x:c>
      <x:c r="C292" s="14" t="str">
        <x:v>Red Cabbage</x:v>
      </x:c>
      <x:c r="D292" s="14" t="str">
        <x:v>लाल पत्ता गोभी</x:v>
      </x:c>
      <x:c r="E292" s="14" t="str">
        <x:v>laal patta gobhi, red cabbage</x:v>
      </x:c>
      <x:c r="F292" s="14" t="str">
        <x:v>Known varieties/types: Golden Acre, Pride of India, Copenhagen Market, red cabbage, Chinese cabbage, pointed cabbage</x:v>
      </x:c>
      <x:c r="G292" s="14" t="str">
        <x:v>West Bengal: Hooghly, Nadia, North 24 Parganas; Karnataka: Kolar, Chikkaballapur; Maharashtra: Nashik, Pune; Himachal: Solan, Sirmaur; Tamil Nadu: Nilgiris, Krishnagiri; Bihar/UP winter belts</x:v>
      </x:c>
      <x:c r="H292" s="31" t="str">
        <x:v>Plastic crate, bamboo basket, gunny/HDPE sack, mesh bag, or loose lot</x:v>
      </x:c>
      <x:c r="I292" s="31" t="str">
        <x:v>₹/kg, ₹/crate, ₹/bag, ₹/piece, or lot rate</x:v>
      </x:c>
      <x:c r="J292" s="31" t="str">
        <x:v>Typical vegetable crates/bags are 10-30 kg; heavier sacks may be 40-50 kg</x:v>
      </x:c>
      <x:c r="K292" s="31" t="str">
        <x:v>Normalize to ₹/kg. If quoted per crate/bag, use actual net weight after tare. Keep grade/size/quality note with quote.</x:v>
      </x:c>
      <x:c r="L292" s="31" t="str">
        <x:v>₹/kg</x:v>
      </x:c>
    </x:row>
    <x:row r="293" ht="74" customHeight="1">
      <x:c r="A293" s="14" t="str">
        <x:v>P0292</x:v>
      </x:c>
      <x:c r="B293" s="14" t="str">
        <x:v>ADDITIONAL VEGETABLES</x:v>
      </x:c>
      <x:c r="C293" s="14" t="str">
        <x:v>Cherry Tomato</x:v>
      </x:c>
      <x:c r="D293" s="14" t="str">
        <x:v>चेरी टमाटर</x:v>
      </x:c>
      <x:c r="E293" s="14" t="str">
        <x:v>cherry tamatar, cherry tomato</x:v>
      </x:c>
      <x:c r="F293" s="14" t="str">
        <x:v>Known varieties/types: Mishri, Double, Bigarreau, Stella, Bing, local Kashmir cherry types</x:v>
      </x:c>
      <x:c r="G293" s="14" t="str">
        <x:v>Jammu &amp; Kashmir: Srinagar, Shopian, Baramulla, Ganderbal; Himachal Pradesh: Shimla, Kullu; Uttarakhand hill pockets</x:v>
      </x:c>
      <x:c r="H293" s="31" t="str">
        <x:v>Plastic crate, bamboo basket, gunny/HDPE sack, mesh bag, or loose lot</x:v>
      </x:c>
      <x:c r="I293" s="31" t="str">
        <x:v>₹/kg, ₹/crate, ₹/bag, ₹/piece, or lot rate</x:v>
      </x:c>
      <x:c r="J293" s="31" t="str">
        <x:v>Typical vegetable crates/bags are 10-30 kg; heavier sacks may be 40-50 kg</x:v>
      </x:c>
      <x:c r="K293" s="31" t="str">
        <x:v>Normalize to ₹/kg. If quoted per crate/bag, use actual net weight after tare. Keep grade/size/quality note with quote.</x:v>
      </x:c>
      <x:c r="L293" s="31" t="str">
        <x:v>₹/kg</x:v>
      </x:c>
    </x:row>
    <x:row r="294" ht="74" customHeight="1">
      <x:c r="A294" s="14" t="str">
        <x:v>P0293</x:v>
      </x:c>
      <x:c r="B294" s="14" t="str">
        <x:v>ADDITIONAL VEGETABLES</x:v>
      </x:c>
      <x:c r="C294" s="14" t="str">
        <x:v>Green Tomato</x:v>
      </x:c>
      <x:c r="D294" s="14" t="str">
        <x:v>हरा टमाटर</x:v>
      </x:c>
      <x:c r="E294" s="14" t="str">
        <x:v>hara tamatar, green tomato</x:v>
      </x:c>
      <x:c r="F294" s="14" t="str">
        <x:v>Known varieties/types: Pusa Ruby, Arka Rakshak, Arka Vikas, Abhinav, Himsona, cherry tomato hybrids, green tomato types</x:v>
      </x:c>
      <x:c r="G294" s="14" t="str">
        <x:v>Karnataka: Kolar, Chikkaballapur, Bengaluru Rural; Maharashtra: Nashik, Pune, Ahmednagar; Andhra Pradesh: Chittoor, Anantapur; Himachal Pradesh: Solan, Sirmaur; Tamil Nadu: Krishnagiri, Dharmapuri; UP/Haryana/NCR belts</x:v>
      </x:c>
      <x:c r="H294" s="31" t="str">
        <x:v>Plastic crate, bamboo basket, gunny/HDPE sack, mesh bag, or loose lot</x:v>
      </x:c>
      <x:c r="I294" s="31" t="str">
        <x:v>₹/kg, ₹/crate, ₹/bag, ₹/piece, or lot rate</x:v>
      </x:c>
      <x:c r="J294" s="31" t="str">
        <x:v>Typical vegetable crates/bags are 10-30 kg; heavier sacks may be 40-50 kg</x:v>
      </x:c>
      <x:c r="K294" s="31" t="str">
        <x:v>Normalize to ₹/kg. If quoted per crate/bag, use actual net weight after tare. Keep grade/size/quality note with quote.</x:v>
      </x:c>
      <x:c r="L294" s="31" t="str">
        <x:v>₹/kg</x:v>
      </x:c>
    </x:row>
    <x:row r="295" ht="74" customHeight="1">
      <x:c r="A295" s="14" t="str">
        <x:v>P0294</x:v>
      </x:c>
      <x:c r="B295" s="14" t="str">
        <x:v>ADDITIONAL VEGETABLES</x:v>
      </x:c>
      <x:c r="C295" s="14" t="str">
        <x:v>Yellow Capsicum</x:v>
      </x:c>
      <x:c r="D295" s="14" t="str">
        <x:v>पीली शिमला मिर्च</x:v>
      </x:c>
      <x:c r="E295" s="14" t="str">
        <x:v>peeli shimla mirch, yellow capsicum</x:v>
      </x:c>
      <x:c r="F295" s="14" t="str">
        <x:v>Known varieties/types: California Wonder, Bharat, Indra, green/red/yellow capsicum, bell pepper hybrids</x:v>
      </x:c>
      <x:c r="G295" s="14" t="str">
        <x:v>Himachal Pradesh: Solan, Sirmaur; Karnataka: Bengaluru Rural, Kolar; Maharashtra: Pune, Nashik; Haryana/Delhi/NCR protected cultivation; Tamil Nadu: Nilgiris, Krishnagiri; Uttarakhand hill belts</x:v>
      </x:c>
      <x:c r="H295" s="31" t="str">
        <x:v>Plastic crate, bamboo basket, gunny/HDPE sack, mesh bag, or loose lot</x:v>
      </x:c>
      <x:c r="I295" s="31" t="str">
        <x:v>₹/kg, ₹/crate, ₹/bag, ₹/piece, or lot rate</x:v>
      </x:c>
      <x:c r="J295" s="31" t="str">
        <x:v>Typical vegetable crates/bags are 10-30 kg; heavier sacks may be 40-50 kg</x:v>
      </x:c>
      <x:c r="K295" s="31" t="str">
        <x:v>Normalize to ₹/kg. If quoted per crate/bag, use actual net weight after tare. Keep grade/size/quality note with quote.</x:v>
      </x:c>
      <x:c r="L295" s="31" t="str">
        <x:v>₹/kg</x:v>
      </x:c>
    </x:row>
    <x:row r="296" ht="74" customHeight="1">
      <x:c r="A296" s="14" t="str">
        <x:v>P0295</x:v>
      </x:c>
      <x:c r="B296" s="14" t="str">
        <x:v>ADDITIONAL VEGETABLES</x:v>
      </x:c>
      <x:c r="C296" s="14" t="str">
        <x:v>Red Capsicum</x:v>
      </x:c>
      <x:c r="D296" s="14" t="str">
        <x:v>लाल शिमला मिर्च</x:v>
      </x:c>
      <x:c r="E296" s="14" t="str">
        <x:v>laal shimla mirch, red capsicum</x:v>
      </x:c>
      <x:c r="F296" s="14" t="str">
        <x:v>Known varieties/types: California Wonder, Bharat, Indra, green/red/yellow capsicum, bell pepper hybrids</x:v>
      </x:c>
      <x:c r="G296" s="14" t="str">
        <x:v>Himachal Pradesh: Solan, Sirmaur; Karnataka: Bengaluru Rural, Kolar; Maharashtra: Pune, Nashik; Haryana/Delhi/NCR protected cultivation; Tamil Nadu: Nilgiris, Krishnagiri; Uttarakhand hill belts</x:v>
      </x:c>
      <x:c r="H296" s="31" t="str">
        <x:v>Plastic crate, bamboo basket, gunny/HDPE sack, mesh bag, or loose lot</x:v>
      </x:c>
      <x:c r="I296" s="31" t="str">
        <x:v>₹/kg, ₹/crate, ₹/bag, ₹/piece, or lot rate</x:v>
      </x:c>
      <x:c r="J296" s="31" t="str">
        <x:v>Typical vegetable crates/bags are 10-30 kg; heavier sacks may be 40-50 kg</x:v>
      </x:c>
      <x:c r="K296" s="31" t="str">
        <x:v>Normalize to ₹/kg. If quoted per crate/bag, use actual net weight after tare. Keep grade/size/quality note with quote.</x:v>
      </x:c>
      <x:c r="L296" s="31" t="str">
        <x:v>₹/kg</x:v>
      </x:c>
    </x:row>
    <x:row r="297" ht="74" customHeight="1">
      <x:c r="A297" s="14" t="str">
        <x:v>P0296</x:v>
      </x:c>
      <x:c r="B297" s="14" t="str">
        <x:v>ADDITIONAL VEGETABLES</x:v>
      </x:c>
      <x:c r="C297" s="14" t="str">
        <x:v>Green Capsicum</x:v>
      </x:c>
      <x:c r="D297" s="14" t="str">
        <x:v>हरी शिमला मिर्च</x:v>
      </x:c>
      <x:c r="E297" s="14" t="str">
        <x:v>hari shimla mirch, green capsicum</x:v>
      </x:c>
      <x:c r="F297" s="14" t="str">
        <x:v>Known varieties/types: California Wonder, Bharat, Indra, green/red/yellow capsicum, bell pepper hybrids</x:v>
      </x:c>
      <x:c r="G297" s="14" t="str">
        <x:v>Himachal Pradesh: Solan, Sirmaur; Karnataka: Bengaluru Rural, Kolar; Maharashtra: Pune, Nashik; Haryana/Delhi/NCR protected cultivation; Tamil Nadu: Nilgiris, Krishnagiri; Uttarakhand hill belts</x:v>
      </x:c>
      <x:c r="H297" s="31" t="str">
        <x:v>Plastic crate, bamboo basket, gunny/HDPE sack, mesh bag, or loose lot</x:v>
      </x:c>
      <x:c r="I297" s="31" t="str">
        <x:v>₹/kg, ₹/crate, ₹/bag, ₹/piece, or lot rate</x:v>
      </x:c>
      <x:c r="J297" s="31" t="str">
        <x:v>Typical vegetable crates/bags are 10-30 kg; heavier sacks may be 40-50 kg</x:v>
      </x:c>
      <x:c r="K297" s="31" t="str">
        <x:v>Normalize to ₹/kg. If quoted per crate/bag, use actual net weight after tare. Keep grade/size/quality note with quote.</x:v>
      </x:c>
      <x:c r="L297" s="31" t="str">
        <x:v>₹/kg</x:v>
      </x:c>
    </x:row>
    <x:row r="298" ht="74" customHeight="1">
      <x:c r="A298" s="14" t="str">
        <x:v>P0297</x:v>
      </x:c>
      <x:c r="B298" s="14" t="str">
        <x:v>ADDITIONAL VEGETABLES</x:v>
      </x:c>
      <x:c r="C298" s="14" t="str">
        <x:v>Baby Potato</x:v>
      </x:c>
      <x:c r="D298" s="14" t="str">
        <x:v>छोटा आलू</x:v>
      </x:c>
      <x:c r="E298" s="14" t="str">
        <x:v>chhota aloo, baby potato</x:v>
      </x:c>
      <x:c r="F298" s="14" t="str">
        <x:v>Known varieties/types: Kufri Jyoti, Kufri Bahar, Kufri Chipsona, Kufri Pukhraj, Kufri Sindhuri, Baby potato grades</x:v>
      </x:c>
      <x:c r="G298" s="14" t="str">
        <x:v>Uttar Pradesh: Agra, Farrukhabad, Kannauj, Meerut; West Bengal: Hooghly, Bardhaman, Jalpaiguri; Bihar: Nalanda, Patna; Gujarat: Banaskantha, Sabarkantha; Punjab: Jalandhar, Hoshiarpur; Madhya Pradesh: Indore, Ujjain; Himachal/Uttarakhand seed-potato hills</x:v>
      </x:c>
      <x:c r="H298" s="31" t="str">
        <x:v>Gunny/jute bag, HDPE/PP woven sack, mesh bag, or plastic crate for graded lots</x:v>
      </x:c>
      <x:c r="I298" s="31" t="str">
        <x:v>₹/kg, ₹/quintal, ₹/bag, or ₹/crate</x:v>
      </x:c>
      <x:c r="J298" s="31" t="str">
        <x:v>Common bags are 25-50 kg; onion/potato often 40-50 kg bags; capture actual net weight</x:v>
      </x:c>
      <x:c r="K298" s="31" t="str">
        <x:v>Normalize to ₹/kg or ₹/quintal. If quoted per bag, subtract tare if needed and divide by net kg.</x:v>
      </x:c>
      <x:c r="L298" s="31" t="str">
        <x:v>₹/kg or ₹/quintal</x:v>
      </x:c>
    </x:row>
    <x:row r="299" ht="74" customHeight="1">
      <x:c r="A299" s="14" t="str">
        <x:v>P0298</x:v>
      </x:c>
      <x:c r="B299" s="14" t="str">
        <x:v>ADDITIONAL VEGETABLES</x:v>
      </x:c>
      <x:c r="C299" s="14" t="str">
        <x:v>Onion Green / Hara Pyaz</x:v>
      </x:c>
      <x:c r="D299" s="14" t="str">
        <x:v>हरा प्याज</x:v>
      </x:c>
      <x:c r="E299" s="14" t="str">
        <x:v>hara pyaaz, green onion</x:v>
      </x:c>
      <x:c r="F299" s="14" t="str">
        <x:v>Known varieties/types: N-53, Agrifound Light Red, Bhima Super, Bhima Shakti, Pusa Red, White onion, Red onion, Pearl onion</x:v>
      </x:c>
      <x:c r="G299" s="14" t="str">
        <x:v>Maharashtra: Nashik/Lasalgaon, Ahmednagar, Pune, Solapur; Karnataka: Chitradurga, Vijayapura, Dharwad; Gujarat: Bhavnagar, Rajkot; Madhya Pradesh: Mandsaur, Neemuch, Indore; Rajasthan: Alwar, Sikar; Andhra/Telangana and Tamil Nadu pockets</x:v>
      </x:c>
      <x:c r="H299" s="31" t="str">
        <x:v>Gunny/jute bag, HDPE/PP woven sack, mesh bag, or plastic crate for graded lots</x:v>
      </x:c>
      <x:c r="I299" s="31" t="str">
        <x:v>₹/kg, ₹/quintal, ₹/bag, or ₹/crate</x:v>
      </x:c>
      <x:c r="J299" s="31" t="str">
        <x:v>Common bags are 25-50 kg; onion/potato often 40-50 kg bags; capture actual net weight</x:v>
      </x:c>
      <x:c r="K299" s="31" t="str">
        <x:v>Normalize to ₹/kg or ₹/quintal. If quoted per bag, subtract tare if needed and divide by net kg.</x:v>
      </x:c>
      <x:c r="L299" s="31" t="str">
        <x:v>₹/kg or ₹/quintal</x:v>
      </x:c>
    </x:row>
    <x:row r="300" ht="74" customHeight="1">
      <x:c r="A300" s="14" t="str">
        <x:v>P0299</x:v>
      </x:c>
      <x:c r="B300" s="14" t="str">
        <x:v>ADDITIONAL LEAFY GREENS</x:v>
      </x:c>
      <x:c r="C300" s="14" t="str">
        <x:v>Bathua</x:v>
      </x:c>
      <x:c r="D300" s="14" t="str">
        <x:v>बथुआ</x:v>
      </x:c>
      <x:c r="E300" s="14" t="str">
        <x:v>bathua, bathua leaves, chenopodium</x:v>
      </x:c>
      <x:c r="F300" s="14" t="str">
        <x:v>Known varieties/types: wild/field bathua; cultivar names not common in mandi trade</x:v>
      </x:c>
      <x:c r="G300" s="14" t="str">
        <x:v>North Indian winter fields and peri-urban belts: Delhi/NCR, Haryana, Punjab, Uttar Pradesh, Rajasthan and Madhya Pradesh; common around Sonipat, Karnal, Ludhiana, Meerut, Jaipur and Indore</x:v>
      </x:c>
      <x:c r="H300" s="31" t="str">
        <x:v>Bunches/bundles in plastic crate, bamboo basket, sack, or moist-lined carton</x:v>
      </x:c>
      <x:c r="I300" s="31" t="str">
        <x:v>₹/bunch, ₹/bundle, ₹/kg, or ₹/crate</x:v>
      </x:c>
      <x:c r="J300" s="31" t="str">
        <x:v>Bundle size varies heavily; capture bunch count and sample bundle weight</x:v>
      </x:c>
      <x:c r="K300" s="31" t="str">
        <x:v>Value by bunch if market quote is bunch-based. For analytics, normalize to ₹/kg only after sample weighing: ₹/kg = crate/bundle lot price ÷ net kg.</x:v>
      </x:c>
      <x:c r="L300" s="31" t="str">
        <x:v>₹/bunch and ₹/kg</x:v>
      </x:c>
    </x:row>
    <x:row r="301" ht="74" customHeight="1">
      <x:c r="A301" s="14" t="str">
        <x:v>P0300</x:v>
      </x:c>
      <x:c r="B301" s="14" t="str">
        <x:v>ADDITIONAL LEAFY GREENS</x:v>
      </x:c>
      <x:c r="C301" s="14" t="str">
        <x:v>Dill Leaves</x:v>
      </x:c>
      <x:c r="D301" s="14" t="str">
        <x:v>सोया पत्ता</x:v>
      </x:c>
      <x:c r="E301" s="14" t="str">
        <x:v>soya patta, dill leaves, shepu</x:v>
      </x:c>
      <x:c r="F301" s="14" t="str">
        <x:v>Known varieties/types: local suva/shepu dill selections; cultivar names less common</x:v>
      </x:c>
      <x:c r="G301" s="14" t="str">
        <x:v>Maharashtra: Pune, Nashik; Karnataka: Bengaluru Rural, Kolar; Gujarat: Mehsana; Rajasthan: Jaipur; Delhi/NCR and Punjab winter herb belts</x:v>
      </x:c>
      <x:c r="H301" s="31" t="str">
        <x:v>Bunches/bundles in plastic crate, bamboo basket, sack, or moist-lined carton</x:v>
      </x:c>
      <x:c r="I301" s="31" t="str">
        <x:v>₹/bunch, ₹/bundle, ₹/kg, or ₹/crate</x:v>
      </x:c>
      <x:c r="J301" s="31" t="str">
        <x:v>Bundle size varies heavily; capture bunch count and sample bundle weight</x:v>
      </x:c>
      <x:c r="K301" s="31" t="str">
        <x:v>Value by bunch if market quote is bunch-based. For analytics, normalize to ₹/kg only after sample weighing: ₹/kg = crate/bundle lot price ÷ net kg.</x:v>
      </x:c>
      <x:c r="L301" s="31" t="str">
        <x:v>₹/bunch and ₹/kg</x:v>
      </x:c>
    </x:row>
    <x:row r="302" ht="74" customHeight="1">
      <x:c r="A302" s="14" t="str">
        <x:v>P0301</x:v>
      </x:c>
      <x:c r="B302" s="14" t="str">
        <x:v>ADDITIONAL LEAFY GREENS</x:v>
      </x:c>
      <x:c r="C302" s="14" t="str">
        <x:v>Gongura</x:v>
      </x:c>
      <x:c r="D302" s="14" t="str">
        <x:v>गोंगुरा / अंबाड़ी</x:v>
      </x:c>
      <x:c r="E302" s="14" t="str">
        <x:v>gongura / ambadi, sorrel leaves, gongura</x:v>
      </x:c>
      <x:c r="F302" s="14" t="str">
        <x:v>Known varieties/types: red-stem and green-stem gongura, local Andhra/Telangana landraces</x:v>
      </x:c>
      <x:c r="G302" s="14" t="str">
        <x:v>Andhra Pradesh: Guntur, Krishna, East Godavari; Telangana: Warangal, Khammam, Rangareddy; Karnataka/Tamil Nadu/Chhattisgarh pockets</x:v>
      </x:c>
      <x:c r="H302" s="31" t="str">
        <x:v>Bunches/bundles in plastic crate, bamboo basket, sack, or moist-lined carton</x:v>
      </x:c>
      <x:c r="I302" s="31" t="str">
        <x:v>₹/bunch, ₹/bundle, ₹/kg, or ₹/crate</x:v>
      </x:c>
      <x:c r="J302" s="31" t="str">
        <x:v>Bundle size varies heavily; capture bunch count and sample bundle weight</x:v>
      </x:c>
      <x:c r="K302" s="31" t="str">
        <x:v>Value by bunch if market quote is bunch-based. For analytics, normalize to ₹/kg only after sample weighing: ₹/kg = crate/bundle lot price ÷ net kg.</x:v>
      </x:c>
      <x:c r="L302" s="31" t="str">
        <x:v>₹/bunch and ₹/kg</x:v>
      </x:c>
    </x:row>
    <x:row r="303" ht="74" customHeight="1">
      <x:c r="A303" s="14" t="str">
        <x:v>P0302</x:v>
      </x:c>
      <x:c r="B303" s="14" t="str">
        <x:v>ADDITIONAL LEAFY GREENS</x:v>
      </x:c>
      <x:c r="C303" s="14" t="str">
        <x:v>Sorrel Leaves</x:v>
      </x:c>
      <x:c r="D303" s="14" t="str">
        <x:v>खट्टी पालक / चुक्का साग</x:v>
      </x:c>
      <x:c r="E303" s="14" t="str">
        <x:v>khatti palak / chukka saag, sorrel leaves</x:v>
      </x:c>
      <x:c r="F303" s="14" t="str">
        <x:v>Known varieties/types: sorrel/ambadi/gongura leaf types; red and green leaf types</x:v>
      </x:c>
      <x:c r="G303" s="14" t="str">
        <x:v>Andhra/Telangana gongura belts plus Odisha, West Bengal and North East sour-leaf pockets; areas include Guntur, Warangal, Cuttack, Nadia and Assam valley</x:v>
      </x:c>
      <x:c r="H303" s="31" t="str">
        <x:v>Bunches/bundles in plastic crate, bamboo basket, sack, or moist-lined carton</x:v>
      </x:c>
      <x:c r="I303" s="31" t="str">
        <x:v>₹/bunch, ₹/bundle, ₹/kg, or ₹/crate</x:v>
      </x:c>
      <x:c r="J303" s="31" t="str">
        <x:v>Bundle size varies heavily; capture bunch count and sample bundle weight</x:v>
      </x:c>
      <x:c r="K303" s="31" t="str">
        <x:v>Value by bunch if market quote is bunch-based. For analytics, normalize to ₹/kg only after sample weighing: ₹/kg = crate/bundle lot price ÷ net kg.</x:v>
      </x:c>
      <x:c r="L303" s="31" t="str">
        <x:v>₹/bunch and ₹/kg</x:v>
      </x:c>
    </x:row>
    <x:row r="304" ht="74" customHeight="1">
      <x:c r="A304" s="14" t="str">
        <x:v>P0303</x:v>
      </x:c>
      <x:c r="B304" s="14" t="str">
        <x:v>ADDITIONAL LEAFY GREENS</x:v>
      </x:c>
      <x:c r="C304" s="14" t="str">
        <x:v>Malabar Spinach</x:v>
      </x:c>
      <x:c r="D304" s="14" t="str">
        <x:v>पोई साग / बासेला</x:v>
      </x:c>
      <x:c r="E304" s="14" t="str">
        <x:v>poi saag / basella, malabar spinach, poi saag</x:v>
      </x:c>
      <x:c r="F304" s="14" t="str">
        <x:v>Known varieties/types: Pusa Palak, All Green, Jobner Green, local palak types</x:v>
      </x:c>
      <x:c r="G304" s="14" t="str">
        <x:v>Haryana/Delhi NCR: Sonipat, Karnal, Panipat; Uttar Pradesh: Meerut, Lucknow; Punjab: Ludhiana; West Bengal/Bihar winter belts; Maharashtra: Pune/Nashik; Karnataka: Kolar/Bengaluru Rural</x:v>
      </x:c>
      <x:c r="H304" s="31" t="str">
        <x:v>Bunches/bundles in plastic crate, bamboo basket, sack, or moist-lined carton</x:v>
      </x:c>
      <x:c r="I304" s="31" t="str">
        <x:v>₹/bunch, ₹/bundle, ₹/kg, or ₹/crate</x:v>
      </x:c>
      <x:c r="J304" s="31" t="str">
        <x:v>Bundle size varies heavily; capture bunch count and sample bundle weight</x:v>
      </x:c>
      <x:c r="K304" s="31" t="str">
        <x:v>Value by bunch if market quote is bunch-based. For analytics, normalize to ₹/kg only after sample weighing: ₹/kg = crate/bundle lot price ÷ net kg.</x:v>
      </x:c>
      <x:c r="L304" s="31" t="str">
        <x:v>₹/bunch and ₹/kg</x:v>
      </x:c>
    </x:row>
    <x:row r="305" ht="74" customHeight="1">
      <x:c r="A305" s="14" t="str">
        <x:v>P0304</x:v>
      </x:c>
      <x:c r="B305" s="14" t="str">
        <x:v>ADDITIONAL LEAFY GREENS</x:v>
      </x:c>
      <x:c r="C305" s="14" t="str">
        <x:v>Purslane</x:v>
      </x:c>
      <x:c r="D305" s="14" t="str">
        <x:v>कुलफा</x:v>
      </x:c>
      <x:c r="E305" s="14" t="str">
        <x:v>kulfa, purslane, kulfa saag</x:v>
      </x:c>
      <x:c r="F305" s="14" t="str">
        <x:v>Known varieties/types: local kulfa/purslane; cultivar names not common in mandi trade</x:v>
      </x:c>
      <x:c r="G305" s="14" t="str">
        <x:v>Pan-India leafy green/weed vegetable in summer fields; market arrivals from Rajasthan, Gujarat, Uttar Pradesh, Delhi NCR, Maharashtra and Karnataka peri-urban belts</x:v>
      </x:c>
      <x:c r="H305" s="31" t="str">
        <x:v>Bunches/bundles in plastic crate, bamboo basket, sack, or moist-lined carton</x:v>
      </x:c>
      <x:c r="I305" s="31" t="str">
        <x:v>₹/bunch, ₹/bundle, ₹/kg, or ₹/crate</x:v>
      </x:c>
      <x:c r="J305" s="31" t="str">
        <x:v>Bundle size varies heavily; capture bunch count and sample bundle weight</x:v>
      </x:c>
      <x:c r="K305" s="31" t="str">
        <x:v>Value by bunch if market quote is bunch-based. For analytics, normalize to ₹/kg only after sample weighing: ₹/kg = crate/bundle lot price ÷ net kg.</x:v>
      </x:c>
      <x:c r="L305" s="31" t="str">
        <x:v>₹/bunch and ₹/kg</x:v>
      </x:c>
    </x:row>
    <x:row r="306" ht="74" customHeight="1">
      <x:c r="A306" s="14" t="str">
        <x:v>P0305</x:v>
      </x:c>
      <x:c r="B306" s="14" t="str">
        <x:v>ADDITIONAL LEAFY GREENS</x:v>
      </x:c>
      <x:c r="C306" s="14" t="str">
        <x:v>Radish Leaves</x:v>
      </x:c>
      <x:c r="D306" s="14" t="str">
        <x:v>मूली के पत्ते</x:v>
      </x:c>
      <x:c r="E306" s="14" t="str">
        <x:v>mooli ke patte, radish leaves</x:v>
      </x:c>
      <x:c r="F306" s="14" t="str">
        <x:v>Known varieties/types: Pusa Chetki, Japanese White, Pusa Reshmi, local white/red radish types</x:v>
      </x:c>
      <x:c r="G306" s="14" t="str">
        <x:v>Haryana/Delhi/NCR: Sonipat, Karnal, Panipat; Uttar Pradesh: Meerut, Lucknow; Punjab: Ludhiana, Jalandhar; West Bengal/Bihar winter vegetable belts; Maharashtra and Karnataka peri-urban belts</x:v>
      </x:c>
      <x:c r="H306" s="31" t="str">
        <x:v>Bunches/bundles in plastic crate, bamboo basket, sack, or moist-lined carton</x:v>
      </x:c>
      <x:c r="I306" s="31" t="str">
        <x:v>₹/bunch, ₹/bundle, ₹/kg, or ₹/crate</x:v>
      </x:c>
      <x:c r="J306" s="31" t="str">
        <x:v>Bundle size varies heavily; capture bunch count and sample bundle weight</x:v>
      </x:c>
      <x:c r="K306" s="31" t="str">
        <x:v>Value by bunch if market quote is bunch-based. For analytics, normalize to ₹/kg only after sample weighing: ₹/kg = crate/bundle lot price ÷ net kg.</x:v>
      </x:c>
      <x:c r="L306" s="31" t="str">
        <x:v>₹/bunch and ₹/kg</x:v>
      </x:c>
    </x:row>
    <x:row r="307" ht="74" customHeight="1">
      <x:c r="A307" s="14" t="str">
        <x:v>P0306</x:v>
      </x:c>
      <x:c r="B307" s="14" t="str">
        <x:v>ADDITIONAL LEAFY GREENS</x:v>
      </x:c>
      <x:c r="C307" s="14" t="str">
        <x:v>Turnip Leaves</x:v>
      </x:c>
      <x:c r="D307" s="14" t="str">
        <x:v>शलगम के पत्ते</x:v>
      </x:c>
      <x:c r="E307" s="14" t="str">
        <x:v>shalgam ke patte, turnip greens</x:v>
      </x:c>
      <x:c r="F307" s="14" t="str">
        <x:v>Known varieties/types: Purple Top White Globe, Pusa Sweti, local shalgam types</x:v>
      </x:c>
      <x:c r="G307" s="14" t="str">
        <x:v>Punjab, Haryana, Uttar Pradesh, Himachal Pradesh, Uttarakhand and Kashmir winter vegetable belts; areas include Ludhiana, Karnal, Meerut, Solan, Dehradun and Srinagar</x:v>
      </x:c>
      <x:c r="H307" s="31" t="str">
        <x:v>Bunches/bundles in plastic crate, bamboo basket, sack, or moist-lined carton</x:v>
      </x:c>
      <x:c r="I307" s="31" t="str">
        <x:v>₹/bunch, ₹/bundle, ₹/kg, or ₹/crate</x:v>
      </x:c>
      <x:c r="J307" s="31" t="str">
        <x:v>Bundle size varies heavily; capture bunch count and sample bundle weight</x:v>
      </x:c>
      <x:c r="K307" s="31" t="str">
        <x:v>Value by bunch if market quote is bunch-based. For analytics, normalize to ₹/kg only after sample weighing: ₹/kg = crate/bundle lot price ÷ net kg.</x:v>
      </x:c>
      <x:c r="L307" s="31" t="str">
        <x:v>₹/bunch and ₹/kg</x:v>
      </x:c>
    </x:row>
    <x:row r="308" ht="74" customHeight="1">
      <x:c r="A308" s="14" t="str">
        <x:v>P0307</x:v>
      </x:c>
      <x:c r="B308" s="14" t="str">
        <x:v>ADDITIONAL LEAFY GREENS</x:v>
      </x:c>
      <x:c r="C308" s="14" t="str">
        <x:v>Beet Greens</x:v>
      </x:c>
      <x:c r="D308" s="14" t="str">
        <x:v>चुकंदर के पत्ते</x:v>
      </x:c>
      <x:c r="E308" s="14" t="str">
        <x:v>chukandar ke patte, beet greens</x:v>
      </x:c>
      <x:c r="F308" s="14" t="str">
        <x:v>Known varieties/types: Detroit Dark Red, Crimson Globe, local beetroot types</x:v>
      </x:c>
      <x:c r="G308" s="14" t="str">
        <x:v>Maharashtra: Pune, Nashik; Karnataka: Bengaluru Rural, Kolar; Tamil Nadu: Nilgiris, Krishnagiri; Haryana/Delhi/NCR and Himachal/Uttarakhand winter/protected belts</x:v>
      </x:c>
      <x:c r="H308" s="31" t="str">
        <x:v>Bunches/bundles in plastic crate, bamboo basket, sack, or moist-lined carton</x:v>
      </x:c>
      <x:c r="I308" s="31" t="str">
        <x:v>₹/bunch, ₹/bundle, ₹/kg, or ₹/crate</x:v>
      </x:c>
      <x:c r="J308" s="31" t="str">
        <x:v>Bundle size varies heavily; capture bunch count and sample bundle weight</x:v>
      </x:c>
      <x:c r="K308" s="31" t="str">
        <x:v>Value by bunch if market quote is bunch-based. For analytics, normalize to ₹/kg only after sample weighing: ₹/kg = crate/bundle lot price ÷ net kg.</x:v>
      </x:c>
      <x:c r="L308" s="31" t="str">
        <x:v>₹/bunch and ₹/kg</x:v>
      </x:c>
    </x:row>
    <x:row r="309" ht="74" customHeight="1">
      <x:c r="A309" s="14" t="str">
        <x:v>P0308</x:v>
      </x:c>
      <x:c r="B309" s="14" t="str">
        <x:v>ADDITIONAL LEAFY GREENS</x:v>
      </x:c>
      <x:c r="C309" s="14" t="str">
        <x:v>Spring Garlic</x:v>
      </x:c>
      <x:c r="D309" s="14" t="str">
        <x:v>हरा लहसुन</x:v>
      </x:c>
      <x:c r="E309" s="14" t="str">
        <x:v>hara lahsun, spring garlic, green garlic</x:v>
      </x:c>
      <x:c r="F309" s="14" t="str">
        <x:v>Known varieties/types: Yamuna Safed/G-1, G-282, Agrifound White, Bhima Purple, Snow Mountain garlic</x:v>
      </x:c>
      <x:c r="G309" s="14" t="str">
        <x:v>Madhya Pradesh: Mandsaur, Neemuch, Ratlam; Rajasthan: Kota, Baran, Jodhpur; Gujarat: Rajkot, Jamnagar; Uttar Pradesh/Maharashtra pockets; Snow Mountain garlic from high-altitude Jammu &amp; Kashmir/Himachal/Ladakh belts</x:v>
      </x:c>
      <x:c r="H309" s="31" t="str">
        <x:v>Gunny/jute bag, HDPE/PP woven sack, mesh bag, or plastic crate for graded lots</x:v>
      </x:c>
      <x:c r="I309" s="31" t="str">
        <x:v>₹/kg, ₹/quintal, ₹/bag, or ₹/crate</x:v>
      </x:c>
      <x:c r="J309" s="31" t="str">
        <x:v>Common bags are 25-50 kg; onion/potato often 40-50 kg bags; capture actual net weight</x:v>
      </x:c>
      <x:c r="K309" s="31" t="str">
        <x:v>Normalize to ₹/kg or ₹/quintal. If quoted per bag, subtract tare if needed and divide by net kg.</x:v>
      </x:c>
      <x:c r="L309" s="31" t="str">
        <x:v>₹/kg or ₹/quintal</x:v>
      </x:c>
    </x:row>
    <x:row r="310" ht="74" customHeight="1">
      <x:c r="A310" s="14" t="str">
        <x:v>P0309</x:v>
      </x:c>
      <x:c r="B310" s="14" t="str">
        <x:v>ADDITIONAL HERBS</x:v>
      </x:c>
      <x:c r="C310" s="14" t="str">
        <x:v>Parsley</x:v>
      </x:c>
      <x:c r="D310" s="14" t="str">
        <x:v>पार्सले</x:v>
      </x:c>
      <x:c r="E310" s="14" t="str">
        <x:v>parsley</x:v>
      </x:c>
      <x:c r="F310" s="14" t="str">
        <x:v>Known varieties/types: curly parsley, flat-leaf parsley</x:v>
      </x:c>
      <x:c r="G310" s="14" t="str">
        <x:v>Niche herb/protected cultivation around Delhi NCR, Pune/Nashik, Bengaluru/Kolar, Himachal Solan, Uttarakhand Dehradun and Tamil Nadu Nilgiris</x:v>
      </x:c>
      <x:c r="H310" s="31" t="str">
        <x:v>Plastic crate, bamboo basket, gunny/HDPE sack, mesh bag, or loose lot</x:v>
      </x:c>
      <x:c r="I310" s="31" t="str">
        <x:v>₹/kg, ₹/crate, ₹/bag, ₹/piece, or lot rate</x:v>
      </x:c>
      <x:c r="J310" s="31" t="str">
        <x:v>Typical vegetable crates/bags are 10-30 kg; heavier sacks may be 40-50 kg</x:v>
      </x:c>
      <x:c r="K310" s="31" t="str">
        <x:v>Normalize to ₹/kg. If quoted per crate/bag, use actual net weight after tare. Keep grade/size/quality note with quote.</x:v>
      </x:c>
      <x:c r="L310" s="31" t="str">
        <x:v>₹/kg</x:v>
      </x:c>
    </x:row>
    <x:row r="311" ht="74" customHeight="1">
      <x:c r="A311" s="14" t="str">
        <x:v>P0310</x:v>
      </x:c>
      <x:c r="B311" s="14" t="str">
        <x:v>ADDITIONAL HERBS</x:v>
      </x:c>
      <x:c r="C311" s="14" t="str">
        <x:v>Basil</x:v>
      </x:c>
      <x:c r="D311" s="14" t="str">
        <x:v>बेसिल</x:v>
      </x:c>
      <x:c r="E311" s="14" t="str">
        <x:v>basil, sweet basil</x:v>
      </x:c>
      <x:c r="F311" s="14" t="str">
        <x:v>Known varieties/types: sweet basil, Thai basil, holy basil/tulsi, Italian basil</x:v>
      </x:c>
      <x:c r="G311" s="14" t="str">
        <x:v>Protected/peri-urban herb belts around Bengaluru, Pune, Delhi NCR, Hyderabad, Mumbai, Goa, Kerala and hill stations; culinary basil and tulsi farms</x:v>
      </x:c>
      <x:c r="H311" s="31" t="str">
        <x:v>Plastic crate, bamboo basket, gunny/HDPE sack, mesh bag, or loose lot</x:v>
      </x:c>
      <x:c r="I311" s="31" t="str">
        <x:v>₹/kg, ₹/crate, ₹/bag, ₹/piece, or lot rate</x:v>
      </x:c>
      <x:c r="J311" s="31" t="str">
        <x:v>Typical vegetable crates/bags are 10-30 kg; heavier sacks may be 40-50 kg</x:v>
      </x:c>
      <x:c r="K311" s="31" t="str">
        <x:v>Normalize to ₹/kg. If quoted per crate/bag, use actual net weight after tare. Keep grade/size/quality note with quote.</x:v>
      </x:c>
      <x:c r="L311" s="31" t="str">
        <x:v>₹/kg</x:v>
      </x:c>
    </x:row>
    <x:row r="312" ht="74" customHeight="1">
      <x:c r="A312" s="14" t="str">
        <x:v>P0311</x:v>
      </x:c>
      <x:c r="B312" s="14" t="str">
        <x:v>ADDITIONAL HERBS</x:v>
      </x:c>
      <x:c r="C312" s="14" t="str">
        <x:v>Lemongrass</x:v>
      </x:c>
      <x:c r="D312" s="14" t="str">
        <x:v>लेमनग्रास</x:v>
      </x:c>
      <x:c r="E312" s="14" t="str">
        <x:v>lemongrass</x:v>
      </x:c>
      <x:c r="F312" s="14" t="str">
        <x:v>Known varieties/types: Kagzi lime, Assam lemon, Eureka lemon, Baramasi lemon, acid lime types</x:v>
      </x:c>
      <x:c r="G312" s="14" t="str">
        <x:v>Andhra Pradesh: Nellore, Kadapa; Gujarat: Kheda, Anand, Mehsana; Maharashtra: Akola, Jalgaon; Rajasthan: Jaipur, Jodhpur; Assam lemon belts in Dibrugarh/Tinsukia; Himachal galgal belts</x:v>
      </x:c>
      <x:c r="H312" s="31" t="str">
        <x:v>Plastic crate, bamboo basket, gunny/HDPE sack, mesh bag, or loose lot</x:v>
      </x:c>
      <x:c r="I312" s="31" t="str">
        <x:v>₹/kg, ₹/crate, ₹/bag, ₹/piece, or lot rate</x:v>
      </x:c>
      <x:c r="J312" s="31" t="str">
        <x:v>Typical vegetable crates/bags are 10-30 kg; heavier sacks may be 40-50 kg</x:v>
      </x:c>
      <x:c r="K312" s="31" t="str">
        <x:v>Normalize to ₹/kg. If quoted per crate/bag, use actual net weight after tare. Keep grade/size/quality note with quote.</x:v>
      </x:c>
      <x:c r="L312" s="31" t="str">
        <x:v>₹/kg</x:v>
      </x:c>
    </x:row>
    <x:row r="313" ht="74" customHeight="1">
      <x:c r="A313" s="14" t="str">
        <x:v>P0312</x:v>
      </x:c>
      <x:c r="B313" s="14" t="str">
        <x:v>ADDITIONAL HERBS</x:v>
      </x:c>
      <x:c r="C313" s="14" t="str">
        <x:v>Rosemary</x:v>
      </x:c>
      <x:c r="D313" s="14" t="str">
        <x:v>रोज़मेरी</x:v>
      </x:c>
      <x:c r="E313" s="14" t="str">
        <x:v>rosemary</x:v>
      </x:c>
      <x:c r="F313" s="14" t="str">
        <x:v>Known varieties/types: local sem/papdi/bakla types; pole and bush types</x:v>
      </x:c>
      <x:c r="G313" s="14" t="str">
        <x:v>Gujarat: Surat/Navsari papdi belts; Maharashtra: Pune, Nashik; Karnataka: Bengaluru Rural/Kolar; Tamil Nadu/Kerala winter vegetable belts; UP/Haryana pockets</x:v>
      </x:c>
      <x:c r="H313" s="31" t="str">
        <x:v>Plastic crate, bamboo basket, gunny/HDPE sack, mesh bag, or loose lot</x:v>
      </x:c>
      <x:c r="I313" s="31" t="str">
        <x:v>₹/kg, ₹/crate, ₹/bag, ₹/piece, or lot rate</x:v>
      </x:c>
      <x:c r="J313" s="31" t="str">
        <x:v>Typical vegetable crates/bags are 10-30 kg; heavier sacks may be 40-50 kg</x:v>
      </x:c>
      <x:c r="K313" s="31" t="str">
        <x:v>Normalize to ₹/kg. If quoted per crate/bag, use actual net weight after tare. Keep grade/size/quality note with quote.</x:v>
      </x:c>
      <x:c r="L313" s="31" t="str">
        <x:v>₹/kg</x:v>
      </x:c>
    </x:row>
    <x:row r="314" ht="74" customHeight="1">
      <x:c r="A314" s="14" t="str">
        <x:v>P0313</x:v>
      </x:c>
      <x:c r="B314" s="14" t="str">
        <x:v>ADDITIONAL HERBS</x:v>
      </x:c>
      <x:c r="C314" s="14" t="str">
        <x:v>Thyme</x:v>
      </x:c>
      <x:c r="D314" s="14" t="str">
        <x:v>थाइम</x:v>
      </x:c>
      <x:c r="E314" s="14" t="str">
        <x:v>thyme</x:v>
      </x:c>
      <x:c r="F314" s="14" t="str">
        <x:v>Known varieties/types: common thyme, lemon thyme; niche herb cultivation</x:v>
      </x:c>
      <x:c r="G314" s="14" t="str">
        <x:v>Niche herb/protected cultivation around Pune, Bengaluru, Delhi NCR, Solan, Dehradun and Nilgiris</x:v>
      </x:c>
      <x:c r="H314" s="31" t="str">
        <x:v>Plastic crate, bamboo basket, gunny/HDPE sack, mesh bag, or loose lot</x:v>
      </x:c>
      <x:c r="I314" s="31" t="str">
        <x:v>₹/kg, ₹/crate, ₹/bag, ₹/piece, or lot rate</x:v>
      </x:c>
      <x:c r="J314" s="31" t="str">
        <x:v>Typical vegetable crates/bags are 10-30 kg; heavier sacks may be 40-50 kg</x:v>
      </x:c>
      <x:c r="K314" s="31" t="str">
        <x:v>Normalize to ₹/kg. If quoted per crate/bag, use actual net weight after tare. Keep grade/size/quality note with quote.</x:v>
      </x:c>
      <x:c r="L314" s="31" t="str">
        <x:v>₹/kg</x:v>
      </x:c>
    </x:row>
    <x:row r="315" ht="74" customHeight="1">
      <x:c r="A315" s="14" t="str">
        <x:v>P0314</x:v>
      </x:c>
      <x:c r="B315" s="14" t="str">
        <x:v>ADDITIONAL HERBS</x:v>
      </x:c>
      <x:c r="C315" s="14" t="str">
        <x:v>Oregano</x:v>
      </x:c>
      <x:c r="D315" s="14" t="str">
        <x:v>ओरेगानो</x:v>
      </x:c>
      <x:c r="E315" s="14" t="str">
        <x:v>oregano</x:v>
      </x:c>
      <x:c r="F315" s="14" t="str">
        <x:v>Known varieties/types: Greek oregano, Italian oregano; niche herb cultivation</x:v>
      </x:c>
      <x:c r="G315" s="14" t="str">
        <x:v>Niche herb/protected cultivation around Pune, Bengaluru, Delhi NCR, Solan, Dehradun and Nilgiris</x:v>
      </x:c>
      <x:c r="H315" s="31" t="str">
        <x:v>Plastic crate, bamboo basket, gunny/HDPE sack, mesh bag, or loose lot</x:v>
      </x:c>
      <x:c r="I315" s="31" t="str">
        <x:v>₹/kg, ₹/crate, ₹/bag, ₹/piece, or lot rate</x:v>
      </x:c>
      <x:c r="J315" s="31" t="str">
        <x:v>Typical vegetable crates/bags are 10-30 kg; heavier sacks may be 40-50 kg</x:v>
      </x:c>
      <x:c r="K315" s="31" t="str">
        <x:v>Normalize to ₹/kg. If quoted per crate/bag, use actual net weight after tare. Keep grade/size/quality note with quote.</x:v>
      </x:c>
      <x:c r="L315" s="31" t="str">
        <x:v>₹/kg</x:v>
      </x:c>
    </x:row>
    <x:row r="316" ht="74" customHeight="1">
      <x:c r="A316" s="14" t="str">
        <x:v>P0315</x:v>
      </x:c>
      <x:c r="B316" s="14" t="str">
        <x:v>ADDITIONAL HERBS</x:v>
      </x:c>
      <x:c r="C316" s="14" t="str">
        <x:v>Celery Leaves</x:v>
      </x:c>
      <x:c r="D316" s="14" t="str">
        <x:v>अजमोद पत्ता / सेलेरी पत्ता</x:v>
      </x:c>
      <x:c r="E316" s="14" t="str">
        <x:v>ajmod patta / celery patta, celery leaves</x:v>
      </x:c>
      <x:c r="F316" s="14" t="str">
        <x:v>Known varieties/types: ribbed celery, leaf celery, Pascal types</x:v>
      </x:c>
      <x:c r="G316" s="14" t="str">
        <x:v>Punjab/Haryana/Delhi NCR winter belts, Himachal/Uttarakhand cool belts, Maharashtra/Pune and Karnataka/Bengaluru protected farms</x:v>
      </x:c>
      <x:c r="H316" s="31" t="str">
        <x:v>Bunches/bundles in plastic crate, bamboo basket, sack, or moist-lined carton</x:v>
      </x:c>
      <x:c r="I316" s="31" t="str">
        <x:v>₹/bunch, ₹/bundle, ₹/kg, or ₹/crate</x:v>
      </x:c>
      <x:c r="J316" s="31" t="str">
        <x:v>Bundle size varies heavily; capture bunch count and sample bundle weight</x:v>
      </x:c>
      <x:c r="K316" s="31" t="str">
        <x:v>Value by bunch if market quote is bunch-based. For analytics, normalize to ₹/kg only after sample weighing: ₹/kg = crate/bundle lot price ÷ net kg.</x:v>
      </x:c>
      <x:c r="L316" s="31" t="str">
        <x:v>₹/bunch and ₹/kg</x:v>
      </x:c>
    </x:row>
    <x:row r="317" ht="74" customHeight="1">
      <x:c r="A317" s="14" t="str">
        <x:v>P0316</x:v>
      </x:c>
      <x:c r="B317" s="14" t="str">
        <x:v>ADDITIONAL HERBS</x:v>
      </x:c>
      <x:c r="C317" s="14" t="str">
        <x:v>Chives</x:v>
      </x:c>
      <x:c r="D317" s="14" t="str">
        <x:v>चाइव्स</x:v>
      </x:c>
      <x:c r="E317" s="14" t="str">
        <x:v>chives</x:v>
      </x:c>
      <x:c r="F317" s="14" t="str">
        <x:v>Known varieties/types: common chives and garlic chives; niche herb cultivation</x:v>
      </x:c>
      <x:c r="G317" s="14" t="str">
        <x:v>Niche herb/protected cultivation around Bengaluru, Pune, Delhi NCR, Solan, Dehradun and Nilgiris</x:v>
      </x:c>
      <x:c r="H317" s="31" t="str">
        <x:v>Plastic crate, bamboo basket, gunny/HDPE sack, mesh bag, or loose lot</x:v>
      </x:c>
      <x:c r="I317" s="31" t="str">
        <x:v>₹/kg, ₹/crate, ₹/bag, ₹/piece, or lot rate</x:v>
      </x:c>
      <x:c r="J317" s="31" t="str">
        <x:v>Typical vegetable crates/bags are 10-30 kg; heavier sacks may be 40-50 kg</x:v>
      </x:c>
      <x:c r="K317" s="31" t="str">
        <x:v>Normalize to ₹/kg. If quoted per crate/bag, use actual net weight after tare. Keep grade/size/quality note with quote.</x:v>
      </x:c>
      <x:c r="L317" s="31" t="str">
        <x:v>₹/kg</x:v>
      </x:c>
    </x:row>
    <x:row r="318" ht="74" customHeight="1">
      <x:c r="A318" s="14" t="str">
        <x:v>P0317</x:v>
      </x:c>
      <x:c r="B318" s="14" t="str">
        <x:v>ADDITIONAL SPICES</x:v>
      </x:c>
      <x:c r="C318" s="14" t="str">
        <x:v>Cinnamon</x:v>
      </x:c>
      <x:c r="D318" s="14" t="str">
        <x:v>दालचीनी</x:v>
      </x:c>
      <x:c r="E318" s="14" t="str">
        <x:v>dalchini, cinnamon</x:v>
      </x:c>
      <x:c r="F318" s="14" t="str">
        <x:v>Known varieties/types: Ceylon cinnamon, cassia/bark types, local cinnamon selections</x:v>
      </x:c>
      <x:c r="G318" s="14" t="str">
        <x:v>Kerala: Idukki, Wayanad; Karnataka: Kodagu, Uttara Kannada; Tamil Nadu: Nilgiris, Kanyakumari; North East niche spice belts</x:v>
      </x:c>
      <x:c r="H318" s="31" t="str">
        <x:v>Jute/gunny bag, HDPE sack, carton, or small bale for high-value spices</x:v>
      </x:c>
      <x:c r="I318" s="31" t="str">
        <x:v>₹/kg, ₹/quintal, or ₹/bag</x:v>
      </x:c>
      <x:c r="J318" s="31" t="str">
        <x:v>Typical wholesale sacks 25-50 kg; premium spices may be 5-10 kg cartons</x:v>
      </x:c>
      <x:c r="K318" s="31" t="str">
        <x:v>Normalize to ₹/kg for high-value spices and ₹/quintal for bulk spice seed. If quoted per bag, divide by net kg.</x:v>
      </x:c>
      <x:c r="L318" s="31" t="str">
        <x:v>₹/kg</x:v>
      </x:c>
    </x:row>
    <x:row r="319" ht="74" customHeight="1">
      <x:c r="A319" s="14" t="str">
        <x:v>P0318</x:v>
      </x:c>
      <x:c r="B319" s="14" t="str">
        <x:v>ADDITIONAL SPICES</x:v>
      </x:c>
      <x:c r="C319" s="14" t="str">
        <x:v>White Pepper</x:v>
      </x:c>
      <x:c r="D319" s="14" t="str">
        <x:v>सफेद मिर्च</x:v>
      </x:c>
      <x:c r="E319" s="14" t="str">
        <x:v>safed mirch, white pepper</x:v>
      </x:c>
      <x:c r="F319" s="14" t="str">
        <x:v>Known varieties/types: processed from black pepper varieties such as Karimunda and Panniyur types</x:v>
      </x:c>
      <x:c r="G319" s="14" t="str">
        <x:v>Kerala/Karnataka/Tamil Nadu pepper-growing belts, especially Idukki, Wayanad, Kodagu, Chikkamagaluru and Nilgiris; processed from mature pepper berries</x:v>
      </x:c>
      <x:c r="H319" s="31" t="str">
        <x:v>Jute/gunny bag, HDPE sack, carton, or small bale for high-value spices</x:v>
      </x:c>
      <x:c r="I319" s="31" t="str">
        <x:v>₹/kg, ₹/quintal, or ₹/bag</x:v>
      </x:c>
      <x:c r="J319" s="31" t="str">
        <x:v>Typical wholesale sacks 25-50 kg; premium spices may be 5-10 kg cartons</x:v>
      </x:c>
      <x:c r="K319" s="31" t="str">
        <x:v>Normalize to ₹/kg for high-value spices and ₹/quintal for bulk spice seed. If quoted per bag, divide by net kg.</x:v>
      </x:c>
      <x:c r="L319" s="31" t="str">
        <x:v>₹/kg</x:v>
      </x:c>
    </x:row>
    <x:row r="320" ht="74" customHeight="1">
      <x:c r="A320" s="14" t="str">
        <x:v>P0319</x:v>
      </x:c>
      <x:c r="B320" s="14" t="str">
        <x:v>ADDITIONAL SPICES</x:v>
      </x:c>
      <x:c r="C320" s="14" t="str">
        <x:v>Star Anise</x:v>
      </x:c>
      <x:c r="D320" s="14" t="str">
        <x:v>चक्र फूल</x:v>
      </x:c>
      <x:c r="E320" s="14" t="str">
        <x:v>chakra phool, star anise</x:v>
      </x:c>
      <x:c r="F320" s="14" t="str">
        <x:v>Known varieties/types: mostly imported star anise; limited North-East niche cultivation, not variety-standardized</x:v>
      </x:c>
      <x:c r="G320" s="14" t="str">
        <x:v>Mostly imported; small North East hill cultivation/trial pockets in Arunachal Pradesh, Meghalaya and Sikkim; arrivals in Delhi/Mumbai/Kolkata spice markets</x:v>
      </x:c>
      <x:c r="H320" s="31" t="str">
        <x:v>Jute/gunny bag, HDPE sack, carton, or small bale for high-value spices</x:v>
      </x:c>
      <x:c r="I320" s="31" t="str">
        <x:v>₹/kg, ₹/quintal, or ₹/bag</x:v>
      </x:c>
      <x:c r="J320" s="31" t="str">
        <x:v>Typical wholesale sacks 25-50 kg; premium spices may be 5-10 kg cartons</x:v>
      </x:c>
      <x:c r="K320" s="31" t="str">
        <x:v>Normalize to ₹/kg for high-value spices and ₹/quintal for bulk spice seed. If quoted per bag, divide by net kg.</x:v>
      </x:c>
      <x:c r="L320" s="31" t="str">
        <x:v>₹/kg</x:v>
      </x:c>
    </x:row>
    <x:row r="321" ht="74" customHeight="1">
      <x:c r="A321" s="14" t="str">
        <x:v>P0320</x:v>
      </x:c>
      <x:c r="B321" s="14" t="str">
        <x:v>ADDITIONAL SPICES</x:v>
      </x:c>
      <x:c r="C321" s="14" t="str">
        <x:v>Black Cumin</x:v>
      </x:c>
      <x:c r="D321" s="14" t="str">
        <x:v>शाही जीरा</x:v>
      </x:c>
      <x:c r="E321" s="14" t="str">
        <x:v>shahi jeera, black cumin, shah jeera</x:v>
      </x:c>
      <x:c r="F321" s="14" t="str">
        <x:v>Known varieties/types: GC-4, RZ-19, RZ-209, Gujarat/Rajasthan jeera types</x:v>
      </x:c>
      <x:c r="G321" s="14" t="str">
        <x:v>Gujarat: Banaskantha, Patan, Mehsana, Kutch; Rajasthan: Jodhpur, Jalore, Barmer, Nagaur; major arrivals in Unjha and Rajasthan mandis</x:v>
      </x:c>
      <x:c r="H321" s="31" t="str">
        <x:v>Jute/gunny bag, HDPE sack, carton, or small bale for high-value spices</x:v>
      </x:c>
      <x:c r="I321" s="31" t="str">
        <x:v>₹/kg, ₹/quintal, or ₹/bag</x:v>
      </x:c>
      <x:c r="J321" s="31" t="str">
        <x:v>Typical wholesale sacks 25-50 kg; premium spices may be 5-10 kg cartons</x:v>
      </x:c>
      <x:c r="K321" s="31" t="str">
        <x:v>Normalize to ₹/kg for high-value spices and ₹/quintal for bulk spice seed. If quoted per bag, divide by net kg.</x:v>
      </x:c>
      <x:c r="L321" s="31" t="str">
        <x:v>₹/kg</x:v>
      </x:c>
    </x:row>
    <x:row r="322" ht="74" customHeight="1">
      <x:c r="A322" s="14" t="str">
        <x:v>P0321</x:v>
      </x:c>
      <x:c r="B322" s="14" t="str">
        <x:v>ADDITIONAL SPICES</x:v>
      </x:c>
      <x:c r="C322" s="14" t="str">
        <x:v>Nigella Seed</x:v>
      </x:c>
      <x:c r="D322" s="14" t="str">
        <x:v>कलौंजी</x:v>
      </x:c>
      <x:c r="E322" s="14" t="str">
        <x:v>kalonji, nigella, onion seed</x:v>
      </x:c>
      <x:c r="F322" s="14" t="str">
        <x:v>Known varieties/types: N-53, Agrifound Light Red, Bhima Super, Bhima Shakti, Pusa Red, White onion, Red onion, Pearl onion</x:v>
      </x:c>
      <x:c r="G322" s="14" t="str">
        <x:v>Maharashtra: Nashik/Lasalgaon, Ahmednagar, Pune, Solapur; Karnataka: Chitradurga, Vijayapura, Dharwad; Gujarat: Bhavnagar, Rajkot; Madhya Pradesh: Mandsaur, Neemuch, Indore; Rajasthan: Alwar, Sikar; Andhra/Telangana and Tamil Nadu pockets</x:v>
      </x:c>
      <x:c r="H322" s="31" t="str">
        <x:v>Jute/gunny bag, HDPE sack, carton, or small bale for high-value spices</x:v>
      </x:c>
      <x:c r="I322" s="31" t="str">
        <x:v>₹/kg, ₹/quintal, or ₹/bag</x:v>
      </x:c>
      <x:c r="J322" s="31" t="str">
        <x:v>Typical wholesale sacks 25-50 kg; premium spices may be 5-10 kg cartons</x:v>
      </x:c>
      <x:c r="K322" s="31" t="str">
        <x:v>Normalize to ₹/kg for high-value spices and ₹/quintal for bulk spice seed. If quoted per bag, divide by net kg.</x:v>
      </x:c>
      <x:c r="L322" s="31" t="str">
        <x:v>₹/kg</x:v>
      </x:c>
    </x:row>
    <x:row r="323" ht="74" customHeight="1">
      <x:c r="A323" s="14" t="str">
        <x:v>P0322</x:v>
      </x:c>
      <x:c r="B323" s="14" t="str">
        <x:v>ADDITIONAL SPICES</x:v>
      </x:c>
      <x:c r="C323" s="14" t="str">
        <x:v>Mustard Small / Rai</x:v>
      </x:c>
      <x:c r="D323" s="14" t="str">
        <x:v>राई</x:v>
      </x:c>
      <x:c r="E323" s="14" t="str">
        <x:v>rai, small mustard</x:v>
      </x:c>
      <x:c r="F323" s="14" t="str">
        <x:v>Known varieties/types: Pusa Bold, Pusa Mustard-25/26/30, Varuna, Rohini, RH-749, yellow sarson and brown rai types</x:v>
      </x:c>
      <x:c r="G323" s="14" t="str">
        <x:v>Rajasthan: Bharatpur, Alwar, Jaipur, Sikar, Ganganagar, Hanumangarh; Haryana: Hisar, Bhiwani, Sirsa, Mahendragarh; Uttar Pradesh: Agra, Mathura, Aligarh, Kanpur; Madhya Pradesh: Morena, Bhind, Gwalior; Gujarat: Banaskantha, Mehsana</x:v>
      </x:c>
      <x:c r="H323" s="31" t="str">
        <x:v>Jute/gunny bag, HDPE sack, carton, or small bale for high-value spices</x:v>
      </x:c>
      <x:c r="I323" s="31" t="str">
        <x:v>₹/kg, ₹/quintal, or ₹/bag</x:v>
      </x:c>
      <x:c r="J323" s="31" t="str">
        <x:v>Typical wholesale sacks 25-50 kg; premium spices may be 5-10 kg cartons</x:v>
      </x:c>
      <x:c r="K323" s="31" t="str">
        <x:v>Normalize to ₹/kg for high-value spices and ₹/quintal for bulk spice seed. If quoted per bag, divide by net kg.</x:v>
      </x:c>
      <x:c r="L323" s="31" t="str">
        <x:v>₹/kg</x:v>
      </x:c>
    </x:row>
    <x:row r="324" ht="74" customHeight="1">
      <x:c r="A324" s="14" t="str">
        <x:v>P0323</x:v>
      </x:c>
      <x:c r="B324" s="14" t="str">
        <x:v>ADDITIONAL SPICES</x:v>
      </x:c>
      <x:c r="C324" s="14" t="str">
        <x:v>Dry Mango Powder</x:v>
      </x:c>
      <x:c r="D324" s="14" t="str">
        <x:v>अमचूर</x:v>
      </x:c>
      <x:c r="E324" s="14" t="str">
        <x:v>amchur, dry mango powder, amchoor</x:v>
      </x:c>
      <x:c r="F324" s="14" t="str">
        <x:v>Known varieties/types: Alphonso/Hapus, Kesar, Dasheri, Langra, Chausa, Banganapalli, Totapuri, Neelam, Safeda, Pairi, Mallika, Amrapali, Zardalu, Himsagar</x:v>
      </x:c>
      <x:c r="G324" s="14" t="str">
        <x:v>Uttar Pradesh: Lucknow-Malihabad, Saharanpur, Varanasi, Meerut; Maharashtra: Ratnagiri, Sindhudurg, Nashik, Pune; Gujarat: Junagadh, Gir Somnath, Kutch, Valsad; Andhra Pradesh: Chittoor, Krishna, Vizianagaram; Telangana: Mahabubnagar, Rangareddy; Karnataka: Kolar, Ramanagara; Bihar: Bhagalpur; West Bengal: Malda, Murshidabad</x:v>
      </x:c>
      <x:c r="H324" s="31" t="str">
        <x:v>Jute/gunny bag, HDPE sack, carton, or small bale for high-value spices</x:v>
      </x:c>
      <x:c r="I324" s="31" t="str">
        <x:v>₹/kg, ₹/quintal, or ₹/bag</x:v>
      </x:c>
      <x:c r="J324" s="31" t="str">
        <x:v>Typical wholesale sacks 25-50 kg; premium spices may be 5-10 kg cartons</x:v>
      </x:c>
      <x:c r="K324" s="31" t="str">
        <x:v>Normalize to ₹/kg for high-value spices and ₹/quintal for bulk spice seed. If quoted per bag, divide by net kg.</x:v>
      </x:c>
      <x:c r="L324" s="31" t="str">
        <x:v>₹/kg</x:v>
      </x:c>
    </x:row>
    <x:row r="325" ht="74" customHeight="1">
      <x:c r="A325" s="14" t="str">
        <x:v>P0324</x:v>
      </x:c>
      <x:c r="B325" s="14" t="str">
        <x:v>ADDITIONAL SPICES</x:v>
      </x:c>
      <x:c r="C325" s="14" t="str">
        <x:v>Pomegranate Seed Dried</x:v>
      </x:c>
      <x:c r="D325" s="14" t="str">
        <x:v>अनारदाना</x:v>
      </x:c>
      <x:c r="E325" s="14" t="str">
        <x:v>anardana, dried pomegranate seed</x:v>
      </x:c>
      <x:c r="F325" s="14" t="str">
        <x:v>Known varieties/types: Bhagwa, Ganesh, Mridula, Arakta, Ruby, Kandhari, G-137</x:v>
      </x:c>
      <x:c r="G325" s="14" t="str">
        <x:v>Maharashtra: Solapur, Sangli, Nashik, Pune, Ahmednagar; Karnataka: Chitradurga, Vijayapura, Bagalkot; Gujarat: Kutch, Banaskantha; Rajasthan: Jodhpur, Barmer; Andhra/Telangana dry belts</x:v>
      </x:c>
      <x:c r="H325" s="31" t="str">
        <x:v>Jute/gunny bag, HDPE sack, carton, or small bale for high-value spices</x:v>
      </x:c>
      <x:c r="I325" s="31" t="str">
        <x:v>₹/kg, ₹/quintal, or ₹/bag</x:v>
      </x:c>
      <x:c r="J325" s="31" t="str">
        <x:v>Typical wholesale sacks 25-50 kg; premium spices may be 5-10 kg cartons</x:v>
      </x:c>
      <x:c r="K325" s="31" t="str">
        <x:v>Normalize to ₹/kg for high-value spices and ₹/quintal for bulk spice seed. If quoted per bag, divide by net kg.</x:v>
      </x:c>
      <x:c r="L325" s="31" t="str">
        <x:v>₹/kg</x:v>
      </x:c>
    </x:row>
    <x:row r="326" ht="74" customHeight="1">
      <x:c r="A326" s="14" t="str">
        <x:v>P0325</x:v>
      </x:c>
      <x:c r="B326" s="14" t="str">
        <x:v>ADDITIONAL SPICES</x:v>
      </x:c>
      <x:c r="C326" s="14" t="str">
        <x:v>Stone Flower</x:v>
      </x:c>
      <x:c r="D326" s="14" t="str">
        <x:v>पत्थर फूल</x:v>
      </x:c>
      <x:c r="E326" s="14" t="str">
        <x:v>patthar phool, stone flower, dagad phool</x:v>
      </x:c>
      <x:c r="F326" s="14" t="str">
        <x:v>Known varieties/types: kalpasi/dagad phool lichen; wild-collected, not cultivar-specific</x:v>
      </x:c>
      <x:c r="G326" s="14" t="str">
        <x:v>Western Ghats and forested hill collection belts in Tamil Nadu, Kerala, Karnataka and Maharashtra; spice-market arrivals in Chennai, Kochi, Bengaluru and Mumbai</x:v>
      </x:c>
      <x:c r="H326" s="31" t="str">
        <x:v>Jute/gunny bag, HDPE sack, carton, or small bale for high-value spices</x:v>
      </x:c>
      <x:c r="I326" s="31" t="str">
        <x:v>₹/kg, ₹/quintal, or ₹/bag</x:v>
      </x:c>
      <x:c r="J326" s="31" t="str">
        <x:v>Typical wholesale sacks 25-50 kg; premium spices may be 5-10 kg cartons</x:v>
      </x:c>
      <x:c r="K326" s="31" t="str">
        <x:v>Normalize to ₹/kg for high-value spices and ₹/quintal for bulk spice seed. If quoted per bag, divide by net kg.</x:v>
      </x:c>
      <x:c r="L326" s="31" t="str">
        <x:v>₹/kg</x:v>
      </x:c>
    </x:row>
    <x:row r="327" ht="74" customHeight="1">
      <x:c r="A327" s="14" t="str">
        <x:v>P0326</x:v>
      </x:c>
      <x:c r="B327" s="14" t="str">
        <x:v>ADDITIONAL SPICES</x:v>
      </x:c>
      <x:c r="C327" s="14" t="str">
        <x:v>Long Pepper</x:v>
      </x:c>
      <x:c r="D327" s="14" t="str">
        <x:v>पीपली</x:v>
      </x:c>
      <x:c r="E327" s="14" t="str">
        <x:v>pipli, long pepper</x:v>
      </x:c>
      <x:c r="F327" s="14" t="str">
        <x:v>Known varieties/types: Pipli/long pepper local types; cultivar names not common in trade</x:v>
      </x:c>
      <x:c r="G327" s="14" t="str">
        <x:v>Kerala, Assam, Meghalaya, Odisha and West Bengal humid forest/medicinal belts; areas include Idukki, Kamrup, Khasi hills, Koraput and Nadia</x:v>
      </x:c>
      <x:c r="H327" s="31" t="str">
        <x:v>Jute/gunny bag, HDPE sack, carton, or small bale for high-value spices</x:v>
      </x:c>
      <x:c r="I327" s="31" t="str">
        <x:v>₹/kg, ₹/quintal, or ₹/bag</x:v>
      </x:c>
      <x:c r="J327" s="31" t="str">
        <x:v>Typical wholesale sacks 25-50 kg; premium spices may be 5-10 kg cartons</x:v>
      </x:c>
      <x:c r="K327" s="31" t="str">
        <x:v>Normalize to ₹/kg for high-value spices and ₹/quintal for bulk spice seed. If quoted per bag, divide by net kg.</x:v>
      </x:c>
      <x:c r="L327" s="31" t="str">
        <x:v>₹/kg</x:v>
      </x:c>
    </x:row>
    <x:row r="328" ht="74" customHeight="1">
      <x:c r="A328" s="14" t="str">
        <x:v>P0327</x:v>
      </x:c>
      <x:c r="B328" s="14" t="str">
        <x:v>ADDITIONAL SPICES</x:v>
      </x:c>
      <x:c r="C328" s="14" t="str">
        <x:v>Dry Coconut</x:v>
      </x:c>
      <x:c r="D328" s="14" t="str">
        <x:v>सूखा नारियल</x:v>
      </x:c>
      <x:c r="E328" s="14" t="str">
        <x:v>sookha nariyal, dry coconut, kopra</x:v>
      </x:c>
      <x:c r="F328" s="14" t="str">
        <x:v>Known varieties/types: West Coast Tall, East Coast Tall, Tiptur Tall, Chowghat Orange Dwarf, Dwarf x Tall hybrids, tender coconut grades</x:v>
      </x:c>
      <x:c r="G328" s="14" t="str">
        <x:v>Base crop area (coconut): Kerala: Kozhikode, Malappuram, Thrissur, Ernakulam; Tamil Nadu: Pollachi/Coimbatore, Thanjavur, Dindigul; Karnataka: Tumakuru, Hassan, Dakshina Kannada; Andhra: East/West Godavari; Maharashtra: Konkan; Odisha/West Bengal coast</x:v>
      </x:c>
      <x:c r="H328" s="31" t="str">
        <x:v>Jute/HDPE sack, carton, or bale for copra/dry coconut lots</x:v>
      </x:c>
      <x:c r="I328" s="31" t="str">
        <x:v>₹/kg, ₹/quintal, ₹/bag, or lot rate</x:v>
      </x:c>
      <x:c r="J328" s="31" t="str">
        <x:v>Common bags/cartons 25-50 kg; capture moisture and cut/whole form</x:v>
      </x:c>
      <x:c r="K328" s="31" t="str">
        <x:v>Normalize to ₹/kg. If quoted per bag, divide by net kg; ₹/quintal = ₹/kg × 100.</x:v>
      </x:c>
      <x:c r="L328" s="31" t="str">
        <x:v>₹/kg</x:v>
      </x:c>
    </x:row>
    <x:row r="329" ht="74" customHeight="1">
      <x:c r="A329" s="14" t="str">
        <x:v>P0328</x:v>
      </x:c>
      <x:c r="B329" s="14" t="str">
        <x:v>ADDITIONAL NUTS / DRY FRUITS</x:v>
      </x:c>
      <x:c r="C329" s="14" t="str">
        <x:v>Cashew Kernel</x:v>
      </x:c>
      <x:c r="D329" s="14" t="str">
        <x:v>काजू</x:v>
      </x:c>
      <x:c r="E329" s="14" t="str">
        <x:v>kaju, cashew, cashew kernel</x:v>
      </x:c>
      <x:c r="F329" s="14" t="str">
        <x:v>Known varieties/types: Vengurla-4/7, BPP-8, Ullal series, Goa local, bold cashew kernel grades W180/W240/W320</x:v>
      </x:c>
      <x:c r="G329" s="14" t="str">
        <x:v>Maharashtra: Ratnagiri, Sindhudurg; Goa; Karnataka: Dakshina Kannada, Udupi; Kerala: Kollam, Kasaragod; Odisha: Ganjam; Andhra: East/West Godavari</x:v>
      </x:c>
      <x:c r="H329" s="31" t="str">
        <x:v>Carton, tin, vacuum pouch inside carton, or HDPE/jute sack for bulk lots</x:v>
      </x:c>
      <x:c r="I329" s="31" t="str">
        <x:v>₹/kg, ₹/carton, or ₹/bag</x:v>
      </x:c>
      <x:c r="J329" s="31" t="str">
        <x:v>Dry fruit/nut cartons commonly 5-25 kg; raw nut bags may be 25-50 kg</x:v>
      </x:c>
      <x:c r="K329" s="31" t="str">
        <x:v>Normalize to ₹/kg. If carton/bag quote is given, ₹/kg = pack price ÷ net kg; keep grade/size count separately.</x:v>
      </x:c>
      <x:c r="L329" s="31" t="str">
        <x:v>₹/kg</x:v>
      </x:c>
    </x:row>
    <x:row r="330" ht="74" customHeight="1">
      <x:c r="A330" s="14" t="str">
        <x:v>P0329</x:v>
      </x:c>
      <x:c r="B330" s="14" t="str">
        <x:v>ADDITIONAL NUTS / DRY FRUITS</x:v>
      </x:c>
      <x:c r="C330" s="14" t="str">
        <x:v>Pistachio</x:v>
      </x:c>
      <x:c r="D330" s="14" t="str">
        <x:v>पिस्ता</x:v>
      </x:c>
      <x:c r="E330" s="14" t="str">
        <x:v>pista, pistachio</x:v>
      </x:c>
      <x:c r="F330" s="14" t="str">
        <x:v>Known varieties/types: mostly imported; niche cold-arid trials, no mainstream Indian mandi cultivar</x:v>
      </x:c>
      <x:c r="G330" s="14" t="str">
        <x:v>Mostly imported; limited cold-arid experimental pockets in Ladakh, Himachal Pradesh and Jammu &amp; Kashmir; wholesale arrivals in Delhi/Mumbai dry-fruit markets</x:v>
      </x:c>
      <x:c r="H330" s="31" t="str">
        <x:v>Carton, tin, vacuum pouch inside carton, or HDPE/jute sack for bulk lots</x:v>
      </x:c>
      <x:c r="I330" s="31" t="str">
        <x:v>₹/kg, ₹/carton, or ₹/bag</x:v>
      </x:c>
      <x:c r="J330" s="31" t="str">
        <x:v>Dry fruit/nut cartons commonly 5-25 kg; raw nut bags may be 25-50 kg</x:v>
      </x:c>
      <x:c r="K330" s="31" t="str">
        <x:v>Normalize to ₹/kg. If carton/bag quote is given, ₹/kg = pack price ÷ net kg; keep grade/size count separately.</x:v>
      </x:c>
      <x:c r="L330" s="31" t="str">
        <x:v>₹/kg</x:v>
      </x:c>
    </x:row>
    <x:row r="331" ht="74" customHeight="1">
      <x:c r="A331" s="14" t="str">
        <x:v>P0330</x:v>
      </x:c>
      <x:c r="B331" s="14" t="str">
        <x:v>ADDITIONAL NUTS / DRY FRUITS</x:v>
      </x:c>
      <x:c r="C331" s="14" t="str">
        <x:v>Dry Dates</x:v>
      </x:c>
      <x:c r="D331" s="14" t="str">
        <x:v>छुआरा</x:v>
      </x:c>
      <x:c r="E331" s="14" t="str">
        <x:v>chhuhara, dry dates</x:v>
      </x:c>
      <x:c r="F331" s="14" t="str">
        <x:v>Known varieties/types: Barhee, Medjool, Khunezi, Khalas, Zahidi; India mostly fresh/date-palm clusters in Kutch-Rajasthan</x:v>
      </x:c>
      <x:c r="G331" s="14" t="str">
        <x:v>Base crop area (dates): Gujarat: Kutch; Rajasthan: Jaisalmer, Barmer, Bikaner; small date-palm belts in arid western India; imported date arrivals in Mumbai/Delhi</x:v>
      </x:c>
      <x:c r="H331" s="31" t="str">
        <x:v>Carton, tin, vacuum pouch inside carton, or HDPE/jute sack for bulk lots</x:v>
      </x:c>
      <x:c r="I331" s="31" t="str">
        <x:v>₹/kg, ₹/carton, or ₹/bag</x:v>
      </x:c>
      <x:c r="J331" s="31" t="str">
        <x:v>Dry fruit/nut cartons commonly 5-25 kg; raw nut bags may be 25-50 kg</x:v>
      </x:c>
      <x:c r="K331" s="31" t="str">
        <x:v>Normalize to ₹/kg. If carton/bag quote is given, ₹/kg = pack price ÷ net kg; keep grade/size count separately.</x:v>
      </x:c>
      <x:c r="L331" s="31" t="str">
        <x:v>₹/kg</x:v>
      </x:c>
    </x:row>
    <x:row r="332" ht="74" customHeight="1">
      <x:c r="A332" s="14" t="str">
        <x:v>P0331</x:v>
      </x:c>
      <x:c r="B332" s="14" t="str">
        <x:v>ADDITIONAL NUTS / DRY FRUITS</x:v>
      </x:c>
      <x:c r="C332" s="14" t="str">
        <x:v>Dry Fig</x:v>
      </x:c>
      <x:c r="D332" s="14" t="str">
        <x:v>सूखा अंजीर</x:v>
      </x:c>
      <x:c r="E332" s="14" t="str">
        <x:v>sookha anjeer, dry fig</x:v>
      </x:c>
      <x:c r="F332" s="14" t="str">
        <x:v>Known varieties/types: Poona Fig, Dinkar, Brown Turkey, Deanna, local anjeer types</x:v>
      </x:c>
      <x:c r="G332" s="14" t="str">
        <x:v>Base crop area (fig): Maharashtra: Pune, Nashik, Solapur; Karnataka: Ballari, Bengaluru Rural; Gujarat: Kutch, Banaskantha; Tamil Nadu and Andhra dry belts</x:v>
      </x:c>
      <x:c r="H332" s="31" t="str">
        <x:v>Carton, tin, vacuum pouch inside carton, or HDPE/jute sack for bulk lots</x:v>
      </x:c>
      <x:c r="I332" s="31" t="str">
        <x:v>₹/kg, ₹/carton, or ₹/bag</x:v>
      </x:c>
      <x:c r="J332" s="31" t="str">
        <x:v>Dry fruit/nut cartons commonly 5-25 kg; raw nut bags may be 25-50 kg</x:v>
      </x:c>
      <x:c r="K332" s="31" t="str">
        <x:v>Normalize to ₹/kg. If carton/bag quote is given, ₹/kg = pack price ÷ net kg; keep grade/size count separately.</x:v>
      </x:c>
      <x:c r="L332" s="31" t="str">
        <x:v>₹/kg</x:v>
      </x:c>
    </x:row>
    <x:row r="333" ht="74" customHeight="1">
      <x:c r="A333" s="14" t="str">
        <x:v>P0332</x:v>
      </x:c>
      <x:c r="B333" s="14" t="str">
        <x:v>ADDITIONAL NUTS / DRY FRUITS</x:v>
      </x:c>
      <x:c r="C333" s="14" t="str">
        <x:v>Fox Nut / Makhana</x:v>
      </x:c>
      <x:c r="D333" s="14" t="str">
        <x:v>मखाना</x:v>
      </x:c>
      <x:c r="E333" s="14" t="str">
        <x:v>makhana, fox nut</x:v>
      </x:c>
      <x:c r="F333" s="14" t="str">
        <x:v>Known varieties/types: Sabour Makhana-1, Swarna Vaidehi, local Mithila makhana types; raw and popped grades</x:v>
      </x:c>
      <x:c r="G333" s="14" t="str">
        <x:v>Bihar: Darbhanga, Madhubani, Purnea, Katihar, Saharsa, Supaul; Mithila wetland belt is the core; also limited North Bengal/Assam wetlands</x:v>
      </x:c>
      <x:c r="H333" s="31" t="str">
        <x:v>Carton, tin, vacuum pouch inside carton, or HDPE/jute sack for bulk lots</x:v>
      </x:c>
      <x:c r="I333" s="31" t="str">
        <x:v>₹/kg, ₹/carton, or ₹/bag</x:v>
      </x:c>
      <x:c r="J333" s="31" t="str">
        <x:v>Dry fruit/nut cartons commonly 5-25 kg; raw nut bags may be 25-50 kg</x:v>
      </x:c>
      <x:c r="K333" s="31" t="str">
        <x:v>Normalize to ₹/kg. If carton/bag quote is given, ₹/kg = pack price ÷ net kg; keep grade/size count separately.</x:v>
      </x:c>
      <x:c r="L333" s="31" t="str">
        <x:v>₹/kg</x:v>
      </x:c>
    </x:row>
    <x:row r="334" ht="74" customHeight="1">
      <x:c r="A334" s="14" t="str">
        <x:v>P0333</x:v>
      </x:c>
      <x:c r="B334" s="14" t="str">
        <x:v>ADDITIONAL NUTS / DRY FRUITS</x:v>
      </x:c>
      <x:c r="C334" s="14" t="str">
        <x:v>Peanut</x:v>
      </x:c>
      <x:c r="D334" s="14" t="str">
        <x:v>मूंगफली</x:v>
      </x:c>
      <x:c r="E334" s="14" t="str">
        <x:v>moongfali, peanut, groundnut</x:v>
      </x:c>
      <x:c r="F334" s="14" t="str">
        <x:v>Known varieties/types: SML-668, PDM-139, IPM-02-3, Samrat, local green gram types</x:v>
      </x:c>
      <x:c r="G334" s="14" t="str">
        <x:v>Rajasthan: Nagaur, Jodhpur, Jaipur, Ajmer; Maharashtra: Akola, Amravati, Jalgaon; Karnataka: Kalaburagi, Bidar; Madhya Pradesh: Ujjain, Indore; Uttar Pradesh: Hardoi, Sitapur; summer moong belts in Punjab/Haryana</x:v>
      </x:c>
      <x:c r="H334" s="31" t="str">
        <x:v>Carton, tin, vacuum pouch inside carton, or HDPE/jute sack for bulk lots</x:v>
      </x:c>
      <x:c r="I334" s="31" t="str">
        <x:v>₹/kg, ₹/carton, or ₹/bag</x:v>
      </x:c>
      <x:c r="J334" s="31" t="str">
        <x:v>Dry fruit/nut cartons commonly 5-25 kg; raw nut bags may be 25-50 kg</x:v>
      </x:c>
      <x:c r="K334" s="31" t="str">
        <x:v>Normalize to ₹/kg. If carton/bag quote is given, ₹/kg = pack price ÷ net kg; keep grade/size count separately.</x:v>
      </x:c>
      <x:c r="L334" s="31" t="str">
        <x:v>₹/kg</x:v>
      </x:c>
    </x:row>
    <x:row r="335" ht="74" customHeight="1">
      <x:c r="A335" s="14" t="str">
        <x:v>P0334</x:v>
      </x:c>
      <x:c r="B335" s="14" t="str">
        <x:v>ADDITIONAL MANDI / CASH CROPS</x:v>
      </x:c>
      <x:c r="C335" s="14" t="str">
        <x:v>Guar</x:v>
      </x:c>
      <x:c r="D335" s="14" t="str">
        <x:v>ग्वार</x:v>
      </x:c>
      <x:c r="E335" s="14" t="str">
        <x:v>gwar, guar, cluster bean crop</x:v>
      </x:c>
      <x:c r="F335" s="14" t="str">
        <x:v>Known varieties/types: HG-365, RGC-936, RGC-1031, HGS series, guar seed and gum grades</x:v>
      </x:c>
      <x:c r="G335" s="14" t="str">
        <x:v>Rajasthan: Jodhpur, Bikaner, Churu, Nagaur, Barmer; Haryana: Hisar, Bhiwani; Gujarat: Kutch, Banaskantha; major gum processing around Jodhpur, Ahmedabad and Haryana/Rajasthan clusters</x:v>
      </x:c>
      <x:c r="H335" s="31" t="str">
        <x:v>Jute/HDPE sack, carton, or crate depending on moisture and grade</x:v>
      </x:c>
      <x:c r="I335" s="31" t="str">
        <x:v>₹/kg, ₹/quintal, ₹/bag, ₹/carton, or lot rate</x:v>
      </x:c>
      <x:c r="J335" s="31" t="str">
        <x:v>Most dry/semi-dry lots use 25-50 kg bags; fresh/semi-fresh lots may use crates</x:v>
      </x:c>
      <x:c r="K335" s="31" t="str">
        <x:v>Normalize by net weight. ₹/kg = lot price ÷ net kg; ₹/quintal = ₹/kg × 100. Capture moisture/grade where relevant.</x:v>
      </x:c>
      <x:c r="L335" s="31" t="str">
        <x:v>₹/kg or ₹/quintal</x:v>
      </x:c>
    </x:row>
    <x:row r="336" ht="74" customHeight="1">
      <x:c r="A336" s="14" t="str">
        <x:v>P0335</x:v>
      </x:c>
      <x:c r="B336" s="14" t="str">
        <x:v>ADDITIONAL MANDI / CASH CROPS</x:v>
      </x:c>
      <x:c r="C336" s="14" t="str">
        <x:v>Guar Gum</x:v>
      </x:c>
      <x:c r="D336" s="14" t="str">
        <x:v>ग्वार गम</x:v>
      </x:c>
      <x:c r="E336" s="14" t="str">
        <x:v>gwar gum, guar gum</x:v>
      </x:c>
      <x:c r="F336" s="14" t="str">
        <x:v>Known varieties/types: HG-365, RGC-936, RGC-1031, HGS series, guar seed and gum grades</x:v>
      </x:c>
      <x:c r="G336" s="14" t="str">
        <x:v>Base crop area (guar): Rajasthan: Jodhpur, Bikaner, Churu, Nagaur, Barmer; Haryana: Hisar, Bhiwani; Gujarat: Kutch, Banaskantha; major gum processing around Jodhpur, Ahmedabad and Haryana/Rajasthan clusters</x:v>
      </x:c>
      <x:c r="H336" s="31" t="str">
        <x:v>Jute/HDPE sack, carton, or crate depending on moisture and grade</x:v>
      </x:c>
      <x:c r="I336" s="31" t="str">
        <x:v>₹/kg, ₹/quintal, ₹/bag, ₹/carton, or lot rate</x:v>
      </x:c>
      <x:c r="J336" s="31" t="str">
        <x:v>Most dry/semi-dry lots use 25-50 kg bags; fresh/semi-fresh lots may use crates</x:v>
      </x:c>
      <x:c r="K336" s="31" t="str">
        <x:v>Normalize by net weight. ₹/kg = lot price ÷ net kg; ₹/quintal = ₹/kg × 100. Capture moisture/grade where relevant.</x:v>
      </x:c>
      <x:c r="L336" s="31" t="str">
        <x:v>₹/kg or ₹/quintal</x:v>
      </x:c>
    </x:row>
    <x:row r="337" ht="74" customHeight="1">
      <x:c r="A337" s="14" t="str">
        <x:v>P0336</x:v>
      </x:c>
      <x:c r="B337" s="14" t="str">
        <x:v>ADDITIONAL MANDI / CASH CROPS</x:v>
      </x:c>
      <x:c r="C337" s="14" t="str">
        <x:v>De-Oiled Rice Bran</x:v>
      </x:c>
      <x:c r="D337" s="14" t="str">
        <x:v>डी-ऑयल्ड राइस ब्रान</x:v>
      </x:c>
      <x:c r="E337" s="14" t="str">
        <x:v>de-oiled rice bran, rice bran</x:v>
      </x:c>
      <x:c r="F337" s="14" t="str">
        <x:v>Common varieties/types: Basmati 1121, Pusa Basmati 1509, Pusa Basmati 1718, PR-126, Swarna, MTU-1010, Sona Masuri, Ponni, IR-64, local aromatic landraces</x:v>
      </x:c>
      <x:c r="G337" s="14" t="str">
        <x:v>West Bengal: Burdwan, Nadia, Hooghly, Murshidabad, Malda; Uttar Pradesh: Gorakhpur, Varanasi, Lakhimpur Kheri, Pilibhit; Punjab: Amritsar, Ludhiana, Patiala; Haryana: Karnal, Kurukshetra; Telangana/Andhra: Nalgonda, Karimnagar, Krishna, East Godavari; Chhattisgarh: Raipur, Durg, Bilaspur; Odisha: Cuttack, Puri, Sambalpur; Assam: Nagaon, Kamrup; Bihar: Rohtas, Bhojpur, Purnea</x:v>
      </x:c>
      <x:c r="H337" s="31" t="str">
        <x:v>Tin/can, HDPE drum or food-grade barrel; packed/carton bottles for retail-facing oil/honey lots</x:v>
      </x:c>
      <x:c r="I337" s="31" t="str">
        <x:v>₹/kg, ₹/litre, ₹/tin, ₹/drum, or ₹/quintal depending on market</x:v>
      </x:c>
      <x:c r="J337" s="31" t="str">
        <x:v>Common trade packs: 15 kg/15 L tin, 25-50 kg can, or larger drums; capture actual net weight/litre</x:v>
      </x:c>
      <x:c r="K337" s="31" t="str">
        <x:v>If quoted per tin/drum: normalized ₹/kg = lot price ÷ net kg. If quoted per litre, keep litre and convert only when density is known. For DCA-style wholesale, oils may appear as ₹/quintal.</x:v>
      </x:c>
      <x:c r="L337" s="31" t="str">
        <x:v>₹/kg or ₹/litre</x:v>
      </x:c>
    </x:row>
    <x:row r="338" ht="74" customHeight="1">
      <x:c r="A338" s="14" t="str">
        <x:v>P0337</x:v>
      </x:c>
      <x:c r="B338" s="14" t="str">
        <x:v>ADDITIONAL VEGETABLES</x:v>
      </x:c>
      <x:c r="C338" s="14" t="str">
        <x:v>Green Jackfruit</x:v>
      </x:c>
      <x:c r="D338" s="14" t="str">
        <x:v>कच्चा कटहल</x:v>
      </x:c>
      <x:c r="E338" s="14" t="str">
        <x:v>kaccha kathal, green jackfruit, raw jackfruit</x:v>
      </x:c>
      <x:c r="F338" s="14" t="str">
        <x:v>Known varieties/types: Singapore Jack, Muttom Varikka, Rudrakshi, local firm-flesh and soft-flesh types</x:v>
      </x:c>
      <x:c r="G338" s="14" t="str">
        <x:v>Kerala: Thrissur, Ernakulam, Kozhikode, Wayanad; Karnataka: Dakshina Kannada, Uttara Kannada, Hassan; Tamil Nadu: Panruti/Cuddalore, Dindigul; West Bengal/Assam/Odisha humid belts</x:v>
      </x:c>
      <x:c r="H338" s="31" t="str">
        <x:v>Plastic crate, sack, carton, or loose count lot</x:v>
      </x:c>
      <x:c r="I338" s="31" t="str">
        <x:v>₹/kg, ₹/piece, ₹/dozen, ₹/crate, or ₹/bag</x:v>
      </x:c>
      <x:c r="J338" s="31" t="str">
        <x:v>Count and net weight vary; capture both pieces and kg when possible</x:v>
      </x:c>
      <x:c r="K338" s="31" t="str">
        <x:v>If count-based, value by piece/dozen. If weight-based, normalize to ₹/kg. For crate/bag, divide price by net kg.</x:v>
      </x:c>
      <x:c r="L338" s="31" t="str">
        <x:v>₹/kg or ₹/piece</x:v>
      </x:c>
    </x:row>
    <x:row r="339" ht="74" customHeight="1">
      <x:c r="A339" s="14" t="str">
        <x:v>P0338</x:v>
      </x:c>
      <x:c r="B339" s="14" t="str">
        <x:v>ADDITIONAL VEGETABLES</x:v>
      </x:c>
      <x:c r="C339" s="14" t="str">
        <x:v>Banana Flower</x:v>
      </x:c>
      <x:c r="D339" s="14" t="str">
        <x:v>केले का फूल</x:v>
      </x:c>
      <x:c r="E339" s="14" t="str">
        <x:v>kele ka phool, banana flower, banana blossom</x:v>
      </x:c>
      <x:c r="F339" s="14" t="str">
        <x:v>Known varieties/types: Grand Naine/G9, Dwarf Cavendish, Robusta, Rasthali, Poovan, Nendran, Red Banana, Yelakki, Ney Poovan, Monthan/raw banana</x:v>
      </x:c>
      <x:c r="G339" s="14" t="str">
        <x:v>Maharashtra: Jalgaon, Nandurbar, Dhule; Andhra Pradesh: Anantapur, Kadapa, East Godavari; Tamil Nadu: Theni, Tiruchirappalli, Coimbatore, Erode; Gujarat: Bharuch, Narmada, Anand; Karnataka: Mysuru, Bagalkot, Belagavi; Bihar: Vaishali, Katihar; Assam/North East pockets</x:v>
      </x:c>
      <x:c r="H339" s="31" t="str">
        <x:v>Plastic crate, sack, carton, or loose count lot</x:v>
      </x:c>
      <x:c r="I339" s="31" t="str">
        <x:v>₹/kg, ₹/piece, ₹/dozen, ₹/crate, or ₹/bag</x:v>
      </x:c>
      <x:c r="J339" s="31" t="str">
        <x:v>Count and net weight vary; capture both pieces and kg when possible</x:v>
      </x:c>
      <x:c r="K339" s="31" t="str">
        <x:v>If count-based, value by piece/dozen. If weight-based, normalize to ₹/kg. For crate/bag, divide price by net kg.</x:v>
      </x:c>
      <x:c r="L339" s="31" t="str">
        <x:v>₹/kg or ₹/piece</x:v>
      </x:c>
    </x:row>
    <x:row r="340" ht="74" customHeight="1">
      <x:c r="A340" s="14" t="str">
        <x:v>P0339</x:v>
      </x:c>
      <x:c r="B340" s="14" t="str">
        <x:v>ADDITIONAL VEGETABLES</x:v>
      </x:c>
      <x:c r="C340" s="14" t="str">
        <x:v>Pumpkin Flower</x:v>
      </x:c>
      <x:c r="D340" s="14" t="str">
        <x:v>कद्दू का फूल</x:v>
      </x:c>
      <x:c r="E340" s="14" t="str">
        <x:v>kaddu ka phool, pumpkin flower</x:v>
      </x:c>
      <x:c r="F340" s="14" t="str">
        <x:v>Known varieties/types: Pusa Vishwas, Arka Suryamukhi, Ambili, Chhappan Kaddu, red/yellow pumpkin types</x:v>
      </x:c>
      <x:c r="G340" s="14" t="str">
        <x:v>Uttar Pradesh: Lucknow, Kanpur, Agra; Bihar: Patna, Nalanda; West Bengal: Nadia, Hooghly; Odisha: Cuttack, Puri; Maharashtra: Pune, Nashik; Karnataka/Tamil Nadu vegetable belts</x:v>
      </x:c>
      <x:c r="H340" s="31" t="str">
        <x:v>Plastic crate, sack, carton, or loose count lot</x:v>
      </x:c>
      <x:c r="I340" s="31" t="str">
        <x:v>₹/kg, ₹/piece, ₹/dozen, ₹/crate, or ₹/bag</x:v>
      </x:c>
      <x:c r="J340" s="31" t="str">
        <x:v>Count and net weight vary; capture both pieces and kg when possible</x:v>
      </x:c>
      <x:c r="K340" s="31" t="str">
        <x:v>If count-based, value by piece/dozen. If weight-based, normalize to ₹/kg. For crate/bag, divide price by net kg.</x:v>
      </x:c>
      <x:c r="L340" s="31" t="str">
        <x:v>₹/kg or ₹/piece</x:v>
      </x:c>
    </x:row>
    <x:row r="341" ht="74" customHeight="1">
      <x:c r="A341" s="14" t="str">
        <x:v>P0340</x:v>
      </x:c>
      <x:c r="B341" s="14" t="str">
        <x:v>ADDITIONAL VEGETABLES</x:v>
      </x:c>
      <x:c r="C341" s="14" t="str">
        <x:v>Mushroom</x:v>
      </x:c>
      <x:c r="D341" s="14" t="str">
        <x:v>मशरूम</x:v>
      </x:c>
      <x:c r="E341" s="14" t="str">
        <x:v>mushroom</x:v>
      </x:c>
      <x:c r="F341" s="14" t="str">
        <x:v>Known varieties/types: Button, Oyster, Milky, Paddy Straw, Shiitake, Portobello; strain names differ by lab</x:v>
      </x:c>
      <x:c r="G341" s="14" t="str">
        <x:v>Himachal: Solan; Haryana: Sonipat, Gurugram; Punjab: Ludhiana; Maharashtra: Pune; Karnataka: Bengaluru; Tamil Nadu: Coimbatore; Odisha and North East oyster/paddy-straw mushroom belts</x:v>
      </x:c>
      <x:c r="H341" s="31" t="str">
        <x:v>Plastic tray, punnet, ventilated carton, or cold-chain crate</x:v>
      </x:c>
      <x:c r="I341" s="31" t="str">
        <x:v>₹/kg, ₹/tray, ₹/punnet, or ₹/carton</x:v>
      </x:c>
      <x:c r="J341" s="31" t="str">
        <x:v>Common trade packs range from small trays to 1-5 kg cartons; capture net weight</x:v>
      </x:c>
      <x:c r="K341" s="31" t="str">
        <x:v>Normalize to ₹/kg. If quoted per tray/carton, divide by net kg and record variety/type separately.</x:v>
      </x:c>
      <x:c r="L341" s="31" t="str">
        <x:v>₹/kg</x:v>
      </x:c>
    </x:row>
    <x:row r="342" ht="74" customHeight="1">
      <x:c r="A342" s="14" t="str">
        <x:v>P0341</x:v>
      </x:c>
      <x:c r="B342" s="14" t="str">
        <x:v>ADDITIONAL VEGETABLES</x:v>
      </x:c>
      <x:c r="C342" s="14" t="str">
        <x:v>Milky Mushroom</x:v>
      </x:c>
      <x:c r="D342" s="14" t="str">
        <x:v>मिल्की मशरूम</x:v>
      </x:c>
      <x:c r="E342" s="14" t="str">
        <x:v>milky mushroom</x:v>
      </x:c>
      <x:c r="F342" s="14" t="str">
        <x:v>Known varieties/types: Button, Oyster, Milky, Paddy Straw, Shiitake, Portobello; strain names differ by lab</x:v>
      </x:c>
      <x:c r="G342" s="14" t="str">
        <x:v>Himachal: Solan; Haryana: Sonipat, Gurugram; Punjab: Ludhiana; Maharashtra: Pune; Karnataka: Bengaluru; Tamil Nadu: Coimbatore; Odisha and North East oyster/paddy-straw mushroom belts</x:v>
      </x:c>
      <x:c r="H342" s="31" t="str">
        <x:v>Plastic tray, punnet, ventilated carton, or cold-chain crate</x:v>
      </x:c>
      <x:c r="I342" s="31" t="str">
        <x:v>₹/kg, ₹/tray, ₹/punnet, or ₹/carton</x:v>
      </x:c>
      <x:c r="J342" s="31" t="str">
        <x:v>Common trade packs range from small trays to 1-5 kg cartons; capture net weight</x:v>
      </x:c>
      <x:c r="K342" s="31" t="str">
        <x:v>Normalize to ₹/kg. If quoted per tray/carton, divide by net kg and record variety/type separately.</x:v>
      </x:c>
      <x:c r="L342" s="31" t="str">
        <x:v>₹/kg</x:v>
      </x:c>
    </x:row>
    <x:row r="343" ht="74" customHeight="1">
      <x:c r="A343" s="14" t="str">
        <x:v>P0342</x:v>
      </x:c>
      <x:c r="B343" s="14" t="str">
        <x:v>ADDITIONAL VEGETABLES</x:v>
      </x:c>
      <x:c r="C343" s="14" t="str">
        <x:v>Paddy Straw Mushroom</x:v>
      </x:c>
      <x:c r="D343" s="14" t="str">
        <x:v>पैडी स्ट्रॉ मशरूम</x:v>
      </x:c>
      <x:c r="E343" s="14" t="str">
        <x:v>paddy straw mushroom</x:v>
      </x:c>
      <x:c r="F343" s="14" t="str">
        <x:v>Common varieties/types: Basmati 1121, Pusa Basmati 1509, Pusa Basmati 1718, PR-126, Swarna, MTU-1010, Sona Masuri, Ponni, IR-64, local aromatic landraces</x:v>
      </x:c>
      <x:c r="G343" s="14" t="str">
        <x:v>West Bengal: Burdwan, Nadia, Hooghly, Murshidabad, Malda; Uttar Pradesh: Gorakhpur, Varanasi, Lakhimpur Kheri, Pilibhit; Punjab: Amritsar, Ludhiana, Patiala; Haryana: Karnal, Kurukshetra; Telangana/Andhra: Nalgonda, Karimnagar, Krishna, East Godavari; Chhattisgarh: Raipur, Durg, Bilaspur; Odisha: Cuttack, Puri, Sambalpur; Assam: Nagaon, Kamrup; Bihar: Rohtas, Bhojpur, Purnea</x:v>
      </x:c>
      <x:c r="H343" s="31" t="str">
        <x:v>Plastic tray, punnet, ventilated carton, or cold-chain crate</x:v>
      </x:c>
      <x:c r="I343" s="31" t="str">
        <x:v>₹/kg, ₹/tray, ₹/punnet, or ₹/carton</x:v>
      </x:c>
      <x:c r="J343" s="31" t="str">
        <x:v>Common trade packs range from small trays to 1-5 kg cartons; capture net weight</x:v>
      </x:c>
      <x:c r="K343" s="31" t="str">
        <x:v>Normalize to ₹/kg. If quoted per tray/carton, divide by net kg and record variety/type separately.</x:v>
      </x:c>
      <x:c r="L343" s="31" t="str">
        <x:v>₹/kg</x:v>
      </x:c>
    </x:row>
    <x:row r="344" ht="74" customHeight="1">
      <x:c r="A344" s="14" t="str">
        <x:v>P0343</x:v>
      </x:c>
      <x:c r="B344" s="14" t="str">
        <x:v>ADDITIONAL VEGETABLES</x:v>
      </x:c>
      <x:c r="C344" s="14" t="str">
        <x:v>Shiitake Mushroom</x:v>
      </x:c>
      <x:c r="D344" s="14" t="str">
        <x:v>शीटाके मशरूम</x:v>
      </x:c>
      <x:c r="E344" s="14" t="str">
        <x:v>shiitake mushroom</x:v>
      </x:c>
      <x:c r="F344" s="14" t="str">
        <x:v>Known varieties/types: Button, Oyster, Milky, Paddy Straw, Shiitake, Portobello; strain names differ by lab</x:v>
      </x:c>
      <x:c r="G344" s="14" t="str">
        <x:v>Himachal: Solan; Haryana: Sonipat, Gurugram; Punjab: Ludhiana; Maharashtra: Pune; Karnataka: Bengaluru; Tamil Nadu: Coimbatore; Odisha and North East oyster/paddy-straw mushroom belts</x:v>
      </x:c>
      <x:c r="H344" s="31" t="str">
        <x:v>Plastic tray, punnet, ventilated carton, or cold-chain crate</x:v>
      </x:c>
      <x:c r="I344" s="31" t="str">
        <x:v>₹/kg, ₹/tray, ₹/punnet, or ₹/carton</x:v>
      </x:c>
      <x:c r="J344" s="31" t="str">
        <x:v>Common trade packs range from small trays to 1-5 kg cartons; capture net weight</x:v>
      </x:c>
      <x:c r="K344" s="31" t="str">
        <x:v>Normalize to ₹/kg. If quoted per tray/carton, divide by net kg and record variety/type separately.</x:v>
      </x:c>
      <x:c r="L344" s="31" t="str">
        <x:v>₹/kg</x:v>
      </x:c>
    </x:row>
    <x:row r="345" ht="74" customHeight="1">
      <x:c r="A345" s="14" t="str">
        <x:v>P0344</x:v>
      </x:c>
      <x:c r="B345" s="14" t="str">
        <x:v>ADDITIONAL VEGETABLES</x:v>
      </x:c>
      <x:c r="C345" s="14" t="str">
        <x:v>Portobello Mushroom</x:v>
      </x:c>
      <x:c r="D345" s="14" t="str">
        <x:v>पोर्टोबेलो मशरूम</x:v>
      </x:c>
      <x:c r="E345" s="14" t="str">
        <x:v>portobello mushroom</x:v>
      </x:c>
      <x:c r="F345" s="14" t="str">
        <x:v>Known varieties/types: Button, Oyster, Milky, Paddy Straw, Shiitake, Portobello; strain names differ by lab</x:v>
      </x:c>
      <x:c r="G345" s="14" t="str">
        <x:v>Himachal: Solan; Haryana: Sonipat, Gurugram; Punjab: Ludhiana; Maharashtra: Pune; Karnataka: Bengaluru; Tamil Nadu: Coimbatore; Odisha and North East oyster/paddy-straw mushroom belts</x:v>
      </x:c>
      <x:c r="H345" s="31" t="str">
        <x:v>Plastic tray, punnet, ventilated carton, or cold-chain crate</x:v>
      </x:c>
      <x:c r="I345" s="31" t="str">
        <x:v>₹/kg, ₹/tray, ₹/punnet, or ₹/carton</x:v>
      </x:c>
      <x:c r="J345" s="31" t="str">
        <x:v>Common trade packs range from small trays to 1-5 kg cartons; capture net weight</x:v>
      </x:c>
      <x:c r="K345" s="31" t="str">
        <x:v>Normalize to ₹/kg. If quoted per tray/carton, divide by net kg and record variety/type separately.</x:v>
      </x:c>
      <x:c r="L345" s="31" t="str">
        <x:v>₹/kg</x:v>
      </x:c>
    </x:row>
    <x:row r="346" ht="74" customHeight="1">
      <x:c r="A346" s="14" t="str">
        <x:v>P0345</x:v>
      </x:c>
      <x:c r="B346" s="14" t="str">
        <x:v>ADDITIONAL VEGETABLES</x:v>
      </x:c>
      <x:c r="C346" s="14" t="str">
        <x:v>White Onion</x:v>
      </x:c>
      <x:c r="D346" s="14" t="str">
        <x:v>सफेद प्याज</x:v>
      </x:c>
      <x:c r="E346" s="14" t="str">
        <x:v>safed pyaaz, white onion</x:v>
      </x:c>
      <x:c r="F346" s="14" t="str">
        <x:v>Known varieties/types: N-53, Agrifound Light Red, Bhima Super, Bhima Shakti, Pusa Red, White onion, Red onion, Pearl onion</x:v>
      </x:c>
      <x:c r="G346" s="14" t="str">
        <x:v>Maharashtra: Nashik/Lasalgaon, Ahmednagar, Pune, Solapur; Karnataka: Chitradurga, Vijayapura, Dharwad; Gujarat: Bhavnagar, Rajkot; Madhya Pradesh: Mandsaur, Neemuch, Indore; Rajasthan: Alwar, Sikar; Andhra/Telangana and Tamil Nadu pockets</x:v>
      </x:c>
      <x:c r="H346" s="31" t="str">
        <x:v>Gunny/jute bag, HDPE/PP woven sack, mesh bag, or plastic crate for graded lots</x:v>
      </x:c>
      <x:c r="I346" s="31" t="str">
        <x:v>₹/kg, ₹/quintal, ₹/bag, or ₹/crate</x:v>
      </x:c>
      <x:c r="J346" s="31" t="str">
        <x:v>Common bags are 25-50 kg; onion/potato often 40-50 kg bags; capture actual net weight</x:v>
      </x:c>
      <x:c r="K346" s="31" t="str">
        <x:v>Normalize to ₹/kg or ₹/quintal. If quoted per bag, subtract tare if needed and divide by net kg.</x:v>
      </x:c>
      <x:c r="L346" s="31" t="str">
        <x:v>₹/kg or ₹/quintal</x:v>
      </x:c>
    </x:row>
    <x:row r="347" ht="74" customHeight="1">
      <x:c r="A347" s="14" t="str">
        <x:v>P0346</x:v>
      </x:c>
      <x:c r="B347" s="14" t="str">
        <x:v>ADDITIONAL VEGETABLES</x:v>
      </x:c>
      <x:c r="C347" s="14" t="str">
        <x:v>Red Onion</x:v>
      </x:c>
      <x:c r="D347" s="14" t="str">
        <x:v>लाल प्याज</x:v>
      </x:c>
      <x:c r="E347" s="14" t="str">
        <x:v>laal pyaaz, red onion</x:v>
      </x:c>
      <x:c r="F347" s="14" t="str">
        <x:v>Known varieties/types: N-53, Agrifound Light Red, Bhima Super, Bhima Shakti, Pusa Red, White onion, Red onion, Pearl onion</x:v>
      </x:c>
      <x:c r="G347" s="14" t="str">
        <x:v>Maharashtra: Nashik/Lasalgaon, Ahmednagar, Pune, Solapur; Karnataka: Chitradurga, Vijayapura, Dharwad; Gujarat: Bhavnagar, Rajkot; Madhya Pradesh: Mandsaur, Neemuch, Indore; Rajasthan: Alwar, Sikar; Andhra/Telangana and Tamil Nadu pockets</x:v>
      </x:c>
      <x:c r="H347" s="31" t="str">
        <x:v>Gunny/jute bag, HDPE/PP woven sack, mesh bag, or plastic crate for graded lots</x:v>
      </x:c>
      <x:c r="I347" s="31" t="str">
        <x:v>₹/kg, ₹/quintal, ₹/bag, or ₹/crate</x:v>
      </x:c>
      <x:c r="J347" s="31" t="str">
        <x:v>Common bags are 25-50 kg; onion/potato often 40-50 kg bags; capture actual net weight</x:v>
      </x:c>
      <x:c r="K347" s="31" t="str">
        <x:v>Normalize to ₹/kg or ₹/quintal. If quoted per bag, subtract tare if needed and divide by net kg.</x:v>
      </x:c>
      <x:c r="L347" s="31" t="str">
        <x:v>₹/kg or ₹/quintal</x:v>
      </x:c>
    </x:row>
    <x:row r="348" ht="74" customHeight="1">
      <x:c r="A348" s="14" t="str">
        <x:v>P0347</x:v>
      </x:c>
      <x:c r="B348" s="14" t="str">
        <x:v>ADDITIONAL VEGETABLES</x:v>
      </x:c>
      <x:c r="C348" s="14" t="str">
        <x:v>Pearl Onion</x:v>
      </x:c>
      <x:c r="D348" s="14" t="str">
        <x:v>छोटा प्याज</x:v>
      </x:c>
      <x:c r="E348" s="14" t="str">
        <x:v>chhota pyaaz, pearl onion, sambar onion</x:v>
      </x:c>
      <x:c r="F348" s="14" t="str">
        <x:v>Known varieties/types: Patharnakh, Babbugosha, Bartlett, Le Conte, Kashmir Nakh</x:v>
      </x:c>
      <x:c r="G348" s="14" t="str">
        <x:v>Punjab: Amritsar, Hoshiarpur, Gurdaspur; Himachal Pradesh: Kullu, Shimla, Mandi; Jammu &amp; Kashmir: Srinagar, Budgam; Uttarakhand hills</x:v>
      </x:c>
      <x:c r="H348" s="31" t="str">
        <x:v>Gunny/jute bag, HDPE/PP woven sack, mesh bag, or plastic crate for graded lots</x:v>
      </x:c>
      <x:c r="I348" s="31" t="str">
        <x:v>₹/kg, ₹/quintal, ₹/bag, or ₹/crate</x:v>
      </x:c>
      <x:c r="J348" s="31" t="str">
        <x:v>Common bags are 25-50 kg; onion/potato often 40-50 kg bags; capture actual net weight</x:v>
      </x:c>
      <x:c r="K348" s="31" t="str">
        <x:v>Normalize to ₹/kg or ₹/quintal. If quoted per bag, subtract tare if needed and divide by net kg.</x:v>
      </x:c>
      <x:c r="L348" s="31" t="str">
        <x:v>₹/kg or ₹/quintal</x:v>
      </x:c>
    </x:row>
    <x:row r="349" ht="74" customHeight="1">
      <x:c r="A349" s="14" t="str">
        <x:v>P0348</x:v>
      </x:c>
      <x:c r="B349" s="14" t="str">
        <x:v>ADDITIONAL VEGETABLES</x:v>
      </x:c>
      <x:c r="C349" s="14" t="str">
        <x:v>Green Peas Pods</x:v>
      </x:c>
      <x:c r="D349" s="14" t="str">
        <x:v>मटर की फली</x:v>
      </x:c>
      <x:c r="E349" s="14" t="str">
        <x:v>matar ki phali, pea pods, green peas pods</x:v>
      </x:c>
      <x:c r="F349" s="14" t="str">
        <x:v>Known varieties/types: Arkel, Bonneville, Azad P-1, Pant Uphar, snow peas and sugar snap peas</x:v>
      </x:c>
      <x:c r="G349" s="14" t="str">
        <x:v>Uttar Pradesh: Meerut, Saharanpur, Agra; Madhya Pradesh: Jabalpur, Sagar; Punjab/Haryana winter belts; Himachal/Uttarakhand hill peas; Karnataka/Tamil Nadu cool belts</x:v>
      </x:c>
      <x:c r="H349" s="31" t="str">
        <x:v>Plastic crate, bamboo basket, gunny/HDPE sack, mesh bag, or loose lot</x:v>
      </x:c>
      <x:c r="I349" s="31" t="str">
        <x:v>₹/kg, ₹/crate, ₹/bag, ₹/piece, or lot rate</x:v>
      </x:c>
      <x:c r="J349" s="31" t="str">
        <x:v>Typical vegetable crates/bags are 10-30 kg; heavier sacks may be 40-50 kg</x:v>
      </x:c>
      <x:c r="K349" s="31" t="str">
        <x:v>Normalize to ₹/kg. If quoted per crate/bag, use actual net weight after tare. Keep grade/size/quality note with quote.</x:v>
      </x:c>
      <x:c r="L349" s="31" t="str">
        <x:v>₹/kg</x:v>
      </x:c>
    </x:row>
    <x:row r="350" ht="74" customHeight="1">
      <x:c r="A350" s="14" t="str">
        <x:v>P0349</x:v>
      </x:c>
      <x:c r="B350" s="14" t="str">
        <x:v>ADDITIONAL VEGETABLES</x:v>
      </x:c>
      <x:c r="C350" s="14" t="str">
        <x:v>Green Chickpea</x:v>
      </x:c>
      <x:c r="D350" s="14" t="str">
        <x:v>हरा चना</x:v>
      </x:c>
      <x:c r="E350" s="14" t="str">
        <x:v>hara chana, green chickpea, choliya</x:v>
      </x:c>
      <x:c r="F350" s="14" t="str">
        <x:v>Known varieties/types: JG-11, JAKI-9218, Vijay, Vishal, Pusa-256, Kabuli types, desi/brown chana</x:v>
      </x:c>
      <x:c r="G350" s="14" t="str">
        <x:v>Madhya Pradesh: Sehore, Vidisha, Dewas, Ujjain, Narmadapuram; Rajasthan: Kota, Bundi, Baran, Jaipur, Churu; Maharashtra: Akola, Amravati, Latur; Uttar Pradesh: Banda, Hamirpur, Jhansi; Karnataka: Kalaburagi, Vijayapura; Gujarat: Dahod, Banaskantha</x:v>
      </x:c>
      <x:c r="H350" s="31" t="str">
        <x:v>Plastic crate, bamboo basket, gunny/HDPE sack, mesh bag, or loose lot</x:v>
      </x:c>
      <x:c r="I350" s="31" t="str">
        <x:v>₹/kg, ₹/crate, ₹/bag, ₹/piece, or lot rate</x:v>
      </x:c>
      <x:c r="J350" s="31" t="str">
        <x:v>Typical vegetable crates/bags are 10-30 kg; heavier sacks may be 40-50 kg</x:v>
      </x:c>
      <x:c r="K350" s="31" t="str">
        <x:v>Normalize to ₹/kg. If quoted per crate/bag, use actual net weight after tare. Keep grade/size/quality note with quote.</x:v>
      </x:c>
      <x:c r="L350" s="31" t="str">
        <x:v>₹/kg</x:v>
      </x:c>
    </x:row>
    <x:row r="351" ht="74" customHeight="1">
      <x:c r="A351" s="14" t="str">
        <x:v>P0350</x:v>
      </x:c>
      <x:c r="B351" s="14" t="str">
        <x:v>ADDITIONAL VEGETABLES</x:v>
      </x:c>
      <x:c r="C351" s="14" t="str">
        <x:v>Green Gram Sprouts</x:v>
      </x:c>
      <x:c r="D351" s="14" t="str">
        <x:v>मूंग स्प्राउट्स</x:v>
      </x:c>
      <x:c r="E351" s="14" t="str">
        <x:v>moong sprouts, green gram sprouts</x:v>
      </x:c>
      <x:c r="F351" s="14" t="str">
        <x:v>Known varieties/types: SML-668, PDM-139, IPM-02-3, Samrat, local green gram types</x:v>
      </x:c>
      <x:c r="G351" s="14" t="str">
        <x:v>Rajasthan: Nagaur, Jodhpur, Jaipur, Ajmer; Maharashtra: Akola, Amravati, Jalgaon; Karnataka: Kalaburagi, Bidar; Madhya Pradesh: Ujjain, Indore; Uttar Pradesh: Hardoi, Sitapur; summer moong belts in Punjab/Haryana</x:v>
      </x:c>
      <x:c r="H351" s="31" t="str">
        <x:v>Small trays, punnets, poly packs, or carton lots</x:v>
      </x:c>
      <x:c r="I351" s="31" t="str">
        <x:v>₹/tray, ₹/pack, ₹/kg, or ₹/carton</x:v>
      </x:c>
      <x:c r="J351" s="31" t="str">
        <x:v>Tray/pack net weight varies; capture label weight or sample weight</x:v>
      </x:c>
      <x:c r="K351" s="31" t="str">
        <x:v>Keep pack quote and normalize only with net weight: ₹/kg = pack/carton price ÷ net kg.</x:v>
      </x:c>
      <x:c r="L351" s="31" t="str">
        <x:v>₹/kg or ₹/pack</x:v>
      </x:c>
    </x:row>
    <x:row r="352" ht="74" customHeight="1">
      <x:c r="A352" s="14" t="str">
        <x:v>P0351</x:v>
      </x:c>
      <x:c r="B352" s="14" t="str">
        <x:v>ADDITIONAL VEGETABLES</x:v>
      </x:c>
      <x:c r="C352" s="14" t="str">
        <x:v>Alfalfa Sprouts</x:v>
      </x:c>
      <x:c r="D352" s="14" t="str">
        <x:v>अल्फाल्फा स्प्राउट्स</x:v>
      </x:c>
      <x:c r="E352" s="14" t="str">
        <x:v>alfalfa sprouts</x:v>
      </x:c>
      <x:c r="F352" s="14" t="str">
        <x:v>Known varieties/types: grown from alfalfa/lucerne seed lots; sold as sprouts, not cultivar-specific</x:v>
      </x:c>
      <x:c r="G352" s="14" t="str">
        <x:v>Urban sprout producers and hydroponic farms near Delhi NCR, Mumbai/Pune, Bengaluru, Hyderabad, Chennai and Kolkata; base alfalfa seed from fodder belts in Rajasthan, Gujarat, Haryana and Punjab</x:v>
      </x:c>
      <x:c r="H352" s="31" t="str">
        <x:v>Small trays, punnets, poly packs, or carton lots</x:v>
      </x:c>
      <x:c r="I352" s="31" t="str">
        <x:v>₹/tray, ₹/pack, ₹/kg, or ₹/carton</x:v>
      </x:c>
      <x:c r="J352" s="31" t="str">
        <x:v>Tray/pack net weight varies; capture label weight or sample weight</x:v>
      </x:c>
      <x:c r="K352" s="31" t="str">
        <x:v>Keep pack quote and normalize only with net weight: ₹/kg = pack/carton price ÷ net kg.</x:v>
      </x:c>
      <x:c r="L352" s="31" t="str">
        <x:v>₹/kg or ₹/pack</x:v>
      </x:c>
    </x:row>
    <x:row r="353" ht="74" customHeight="1">
      <x:c r="A353" s="14" t="str">
        <x:v>P0352</x:v>
      </x:c>
      <x:c r="B353" s="14" t="str">
        <x:v>ADDITIONAL VEGETABLES</x:v>
      </x:c>
      <x:c r="C353" s="14" t="str">
        <x:v>Bamboo Shoot</x:v>
      </x:c>
      <x:c r="D353" s="14" t="str">
        <x:v>बांस की कोपल</x:v>
      </x:c>
      <x:c r="E353" s="14" t="str">
        <x:v>baans ki kopal, bamboo shoot</x:v>
      </x:c>
      <x:c r="F353" s="14" t="str">
        <x:v>Known varieties/types: Bambusa balcooa, Dendrocalamus asper, bamboo shoot types vary by region</x:v>
      </x:c>
      <x:c r="G353" s="14" t="str">
        <x:v>North East: Assam, Meghalaya, Tripura, Mizoram, Manipur; Odisha/Chhattisgarh forest belts; Maharashtra and Karnataka bamboo clusters; shoots common from Assam, Tripura, Meghalaya</x:v>
      </x:c>
      <x:c r="H353" s="31" t="str">
        <x:v>Loose poles/canes tied in bundles or truck lots</x:v>
      </x:c>
      <x:c r="I353" s="31" t="str">
        <x:v>₹/piece, ₹/bundle, ₹/100 pieces, or tonne/lot</x:v>
      </x:c>
      <x:c r="J353" s="31" t="str">
        <x:v>Count and diameter/length grade matter; capture pieces per bundle and size grade</x:v>
      </x:c>
      <x:c r="K353" s="31" t="str">
        <x:v>Value by count and grade. Normalize to ₹/piece for poles, or ₹/tonne only when weighed lot data exists.</x:v>
      </x:c>
      <x:c r="L353" s="31" t="str">
        <x:v>₹/piece</x:v>
      </x:c>
    </x:row>
    <x:row r="354" ht="74" customHeight="1">
      <x:c r="A354" s="14" t="str">
        <x:v>P0353</x:v>
      </x:c>
      <x:c r="B354" s="14" t="str">
        <x:v>ADDITIONAL VEGETABLES</x:v>
      </x:c>
      <x:c r="C354" s="14" t="str">
        <x:v>Fiddlehead Fern</x:v>
      </x:c>
      <x:c r="D354" s="14" t="str">
        <x:v>लिंगड़ा / कासरोड</x:v>
      </x:c>
      <x:c r="E354" s="14" t="str">
        <x:v>lingda / kasrod, fiddlehead fern</x:v>
      </x:c>
      <x:c r="F354" s="14" t="str">
        <x:v>Known varieties/types: local lingri/dhekia edible fern; wild/managed harvest, not cultivar-specific</x:v>
      </x:c>
      <x:c r="G354" s="14" t="str">
        <x:v>Himalayan and North East hill/wild-vegetable belts: Uttarakhand, Himachal, Jammu &amp; Kashmir, Assam, Sikkim, Meghalaya; areas include Dehradun hills, Kullu, Kashmir Valley and Khasi hills</x:v>
      </x:c>
      <x:c r="H354" s="31" t="str">
        <x:v>Plastic crate, bamboo basket, gunny/HDPE sack, mesh bag, or loose lot</x:v>
      </x:c>
      <x:c r="I354" s="31" t="str">
        <x:v>₹/kg, ₹/crate, ₹/bag, ₹/piece, or lot rate</x:v>
      </x:c>
      <x:c r="J354" s="31" t="str">
        <x:v>Typical vegetable crates/bags are 10-30 kg; heavier sacks may be 40-50 kg</x:v>
      </x:c>
      <x:c r="K354" s="31" t="str">
        <x:v>Normalize to ₹/kg. If quoted per crate/bag, use actual net weight after tare. Keep grade/size/quality note with quote.</x:v>
      </x:c>
      <x:c r="L354" s="31" t="str">
        <x:v>₹/kg</x:v>
      </x:c>
    </x:row>
    <x:row r="355" ht="74" customHeight="1">
      <x:c r="A355" s="14" t="str">
        <x:v>P0354</x:v>
      </x:c>
      <x:c r="B355" s="14" t="str">
        <x:v>ADDITIONAL VEGETABLES</x:v>
      </x:c>
      <x:c r="C355" s="14" t="str">
        <x:v>Taro Root</x:v>
      </x:c>
      <x:c r="D355" s="14" t="str">
        <x:v>अरबी</x:v>
      </x:c>
      <x:c r="E355" s="14" t="str">
        <x:v>arbi, taro root</x:v>
      </x:c>
      <x:c r="F355" s="14" t="str">
        <x:v>Known varieties/types: Mukteshwar, local arbi/taro root and leaf types</x:v>
      </x:c>
      <x:c r="G355" s="14" t="str">
        <x:v>Uttar Pradesh, Bihar, Odisha, West Bengal, Maharashtra, Gujarat and Kerala humid/wet belts; areas include Varanasi, Patna, Cuttack, Nadia, Pune and Thrissur</x:v>
      </x:c>
      <x:c r="H355" s="31" t="str">
        <x:v>Plastic crate, gunny/HDPE bag, mesh bag, or loose basket depending on crop</x:v>
      </x:c>
      <x:c r="I355" s="31" t="str">
        <x:v>₹/kg, ₹/crate, ₹/bag, or bunch/count for small roots</x:v>
      </x:c>
      <x:c r="J355" s="31" t="str">
        <x:v>Usually 10-50 kg depending on root/tuber and distance; capture actual net weight</x:v>
      </x:c>
      <x:c r="K355" s="31" t="str">
        <x:v>Normalize to ₹/kg. For bag/crate quotes, ₹/kg = pack price ÷ net kg after tare.</x:v>
      </x:c>
      <x:c r="L355" s="31" t="str">
        <x:v>₹/kg</x:v>
      </x:c>
    </x:row>
    <x:row r="356" ht="74" customHeight="1">
      <x:c r="A356" s="14" t="str">
        <x:v>P0355</x:v>
      </x:c>
      <x:c r="B356" s="14" t="str">
        <x:v>ADDITIONAL VEGETABLES</x:v>
      </x:c>
      <x:c r="C356" s="14" t="str">
        <x:v>Purple Yam</x:v>
      </x:c>
      <x:c r="D356" s="14" t="str">
        <x:v>रतालू</x:v>
      </x:c>
      <x:c r="E356" s="14" t="str">
        <x:v>ratalu, purple yam</x:v>
      </x:c>
      <x:c r="F356" s="14" t="str">
        <x:v>Known varieties/types: Gajendra, Sree Padma, purple yam, white yam, local suran/ratalu types</x:v>
      </x:c>
      <x:c r="G356" s="14" t="str">
        <x:v>Kerala, Tamil Nadu, Odisha, West Bengal, Bihar and North East tuber belts; areas include Wayanad, Coimbatore, Koraput, Nadia, Patna and Assam valley pockets</x:v>
      </x:c>
      <x:c r="H356" s="31" t="str">
        <x:v>Plastic crate, gunny/HDPE bag, mesh bag, or loose basket depending on crop</x:v>
      </x:c>
      <x:c r="I356" s="31" t="str">
        <x:v>₹/kg, ₹/crate, ₹/bag, or bunch/count for small roots</x:v>
      </x:c>
      <x:c r="J356" s="31" t="str">
        <x:v>Usually 10-50 kg depending on root/tuber and distance; capture actual net weight</x:v>
      </x:c>
      <x:c r="K356" s="31" t="str">
        <x:v>Normalize to ₹/kg. For bag/crate quotes, ₹/kg = pack price ÷ net kg after tare.</x:v>
      </x:c>
      <x:c r="L356" s="31" t="str">
        <x:v>₹/kg</x:v>
      </x:c>
    </x:row>
    <x:row r="357" ht="74" customHeight="1">
      <x:c r="A357" s="14" t="str">
        <x:v>P0356</x:v>
      </x:c>
      <x:c r="B357" s="14" t="str">
        <x:v>ADDITIONAL VEGETABLES</x:v>
      </x:c>
      <x:c r="C357" s="14" t="str">
        <x:v>White Yam</x:v>
      </x:c>
      <x:c r="D357" s="14" t="str">
        <x:v>सफेद रतालू</x:v>
      </x:c>
      <x:c r="E357" s="14" t="str">
        <x:v>safed ratalu, white yam</x:v>
      </x:c>
      <x:c r="F357" s="14" t="str">
        <x:v>Known varieties/types: Gajendra, Sree Padma, purple yam, white yam, local suran/ratalu types</x:v>
      </x:c>
      <x:c r="G357" s="14" t="str">
        <x:v>Kerala, Tamil Nadu, Odisha, West Bengal, Bihar and North East tuber belts; areas include Wayanad, Coimbatore, Koraput, Nadia, Patna and Assam valley pockets</x:v>
      </x:c>
      <x:c r="H357" s="31" t="str">
        <x:v>Plastic crate, gunny/HDPE bag, mesh bag, or loose basket depending on crop</x:v>
      </x:c>
      <x:c r="I357" s="31" t="str">
        <x:v>₹/kg, ₹/crate, ₹/bag, or bunch/count for small roots</x:v>
      </x:c>
      <x:c r="J357" s="31" t="str">
        <x:v>Usually 10-50 kg depending on root/tuber and distance; capture actual net weight</x:v>
      </x:c>
      <x:c r="K357" s="31" t="str">
        <x:v>Normalize to ₹/kg. For bag/crate quotes, ₹/kg = pack price ÷ net kg after tare.</x:v>
      </x:c>
      <x:c r="L357" s="31" t="str">
        <x:v>₹/kg</x:v>
      </x:c>
    </x:row>
    <x:row r="358" ht="74" customHeight="1">
      <x:c r="A358" s="14" t="str">
        <x:v>P0357</x:v>
      </x:c>
      <x:c r="B358" s="14" t="str">
        <x:v>ADDITIONAL VEGETABLES</x:v>
      </x:c>
      <x:c r="C358" s="14" t="str">
        <x:v>Yam Bean / Jicama</x:v>
      </x:c>
      <x:c r="D358" s="14" t="str">
        <x:v>मिश्रीकंद</x:v>
      </x:c>
      <x:c r="E358" s="14" t="str">
        <x:v>mishrikand, jicama, yam bean</x:v>
      </x:c>
      <x:c r="F358" s="14" t="str">
        <x:v>Known varieties/types: local jicama/mishrikand types; cultivar names not common</x:v>
      </x:c>
      <x:c r="G358" s="14" t="str">
        <x:v>Maharashtra, Gujarat, Uttar Pradesh, Bihar and Karnataka tuber/vegetable belts; niche arrivals around Pune, Nashik, Ahmedabad, Patna and Bengaluru</x:v>
      </x:c>
      <x:c r="H358" s="31" t="str">
        <x:v>Plastic crate, gunny/HDPE bag, mesh bag, or loose basket depending on crop</x:v>
      </x:c>
      <x:c r="I358" s="31" t="str">
        <x:v>₹/kg, ₹/crate, ₹/bag, or bunch/count for small roots</x:v>
      </x:c>
      <x:c r="J358" s="31" t="str">
        <x:v>Usually 10-50 kg depending on root/tuber and distance; capture actual net weight</x:v>
      </x:c>
      <x:c r="K358" s="31" t="str">
        <x:v>Normalize to ₹/kg. For bag/crate quotes, ₹/kg = pack price ÷ net kg after tare.</x:v>
      </x:c>
      <x:c r="L358" s="31" t="str">
        <x:v>₹/kg</x:v>
      </x:c>
    </x:row>
    <x:row r="359" ht="74" customHeight="1">
      <x:c r="A359" s="14" t="str">
        <x:v>P0358</x:v>
      </x:c>
      <x:c r="B359" s="14" t="str">
        <x:v>ADDITIONAL VEGETABLES</x:v>
      </x:c>
      <x:c r="C359" s="14" t="str">
        <x:v>Kohlrabi</x:v>
      </x:c>
      <x:c r="D359" s="14" t="str">
        <x:v>गांठ गोभी</x:v>
      </x:c>
      <x:c r="E359" s="14" t="str">
        <x:v>ganth gobhi, kohlrabi</x:v>
      </x:c>
      <x:c r="F359" s="14" t="str">
        <x:v>Known varieties/types: White Vienna, Purple Vienna, Knol khol types</x:v>
      </x:c>
      <x:c r="G359" s="14" t="str">
        <x:v>Kashmir Valley, Himachal Pradesh, Punjab, Haryana/Delhi NCR, Uttar Pradesh and West Bengal winter belts; areas include Srinagar, Solan, Ludhiana, Karnal, Meerut and Nadia</x:v>
      </x:c>
      <x:c r="H359" s="31" t="str">
        <x:v>Plastic crate, gunny/HDPE bag, mesh bag, or loose basket depending on crop</x:v>
      </x:c>
      <x:c r="I359" s="31" t="str">
        <x:v>₹/kg, ₹/crate, ₹/bag, or bunch/count for small roots</x:v>
      </x:c>
      <x:c r="J359" s="31" t="str">
        <x:v>Usually 10-50 kg depending on root/tuber and distance; capture actual net weight</x:v>
      </x:c>
      <x:c r="K359" s="31" t="str">
        <x:v>Normalize to ₹/kg. For bag/crate quotes, ₹/kg = pack price ÷ net kg after tare.</x:v>
      </x:c>
      <x:c r="L359" s="31" t="str">
        <x:v>₹/kg</x:v>
      </x:c>
    </x:row>
    <x:row r="360" ht="74" customHeight="1">
      <x:c r="A360" s="14" t="str">
        <x:v>P0359</x:v>
      </x:c>
      <x:c r="B360" s="14" t="str">
        <x:v>ADDITIONAL VEGETABLES</x:v>
      </x:c>
      <x:c r="C360" s="14" t="str">
        <x:v>Knol Khol</x:v>
      </x:c>
      <x:c r="D360" s="14" t="str">
        <x:v>नोलखोल / गांठ गोभी</x:v>
      </x:c>
      <x:c r="E360" s="14" t="str">
        <x:v>knol khol / ganth gobhi, knol khol</x:v>
      </x:c>
      <x:c r="F360" s="14" t="str">
        <x:v>Known varieties/types: White Vienna, Purple Vienna, Knol khol types</x:v>
      </x:c>
      <x:c r="G360" s="14" t="str">
        <x:v>Kashmir Valley, Himachal Pradesh, Punjab, Haryana/Delhi NCR, Uttar Pradesh and West Bengal winter belts; areas include Srinagar, Solan, Ludhiana, Karnal, Meerut and Nadia</x:v>
      </x:c>
      <x:c r="H360" s="31" t="str">
        <x:v>Plastic crate, gunny/HDPE bag, mesh bag, or loose basket depending on crop</x:v>
      </x:c>
      <x:c r="I360" s="31" t="str">
        <x:v>₹/kg, ₹/crate, ₹/bag, or bunch/count for small roots</x:v>
      </x:c>
      <x:c r="J360" s="31" t="str">
        <x:v>Usually 10-50 kg depending on root/tuber and distance; capture actual net weight</x:v>
      </x:c>
      <x:c r="K360" s="31" t="str">
        <x:v>Normalize to ₹/kg. For bag/crate quotes, ₹/kg = pack price ÷ net kg after tare.</x:v>
      </x:c>
      <x:c r="L360" s="31" t="str">
        <x:v>₹/kg</x:v>
      </x:c>
    </x:row>
    <x:row r="361" ht="74" customHeight="1">
      <x:c r="A361" s="14" t="str">
        <x:v>P0360</x:v>
      </x:c>
      <x:c r="B361" s="14" t="str">
        <x:v>ADDITIONAL VEGETABLES</x:v>
      </x:c>
      <x:c r="C361" s="14" t="str">
        <x:v>Raw Tamarind</x:v>
      </x:c>
      <x:c r="D361" s="14" t="str">
        <x:v>कच्ची इमली</x:v>
      </x:c>
      <x:c r="E361" s="14" t="str">
        <x:v>kacchi imli, raw tamarind</x:v>
      </x:c>
      <x:c r="F361" s="14" t="str">
        <x:v>Known varieties/types: PKM-1, Urigam, local sweet/sour tamarind types</x:v>
      </x:c>
      <x:c r="G361" s="14" t="str">
        <x:v>Tamil Nadu: Dharmapuri, Salem, Dindigul; Karnataka: Tumakuru, Chitradurga; Andhra Pradesh/Telangana: Anantapur, Kurnool, Mahabubnagar; Maharashtra/Chhattisgarh forest belts</x:v>
      </x:c>
      <x:c r="H361" s="31" t="str">
        <x:v>Plastic crate, bamboo basket, gunny/HDPE sack, mesh bag, or loose lot</x:v>
      </x:c>
      <x:c r="I361" s="31" t="str">
        <x:v>₹/kg, ₹/crate, ₹/bag, ₹/piece, or lot rate</x:v>
      </x:c>
      <x:c r="J361" s="31" t="str">
        <x:v>Typical vegetable crates/bags are 10-30 kg; heavier sacks may be 40-50 kg</x:v>
      </x:c>
      <x:c r="K361" s="31" t="str">
        <x:v>Normalize to ₹/kg. If quoted per crate/bag, use actual net weight after tare. Keep grade/size/quality note with quote.</x:v>
      </x:c>
      <x:c r="L361" s="31" t="str">
        <x:v>₹/kg</x:v>
      </x:c>
    </x:row>
    <x:row r="362" ht="74" customHeight="1">
      <x:c r="A362" s="14" t="str">
        <x:v>P0361</x:v>
      </x:c>
      <x:c r="B362" s="14" t="str">
        <x:v>ADDITIONAL VEGETABLES</x:v>
      </x:c>
      <x:c r="C362" s="14" t="str">
        <x:v>Green Peppercorn</x:v>
      </x:c>
      <x:c r="D362" s="14" t="str">
        <x:v>हरी काली मिर्च</x:v>
      </x:c>
      <x:c r="E362" s="14" t="str">
        <x:v>hari kali mirch, green peppercorn</x:v>
      </x:c>
      <x:c r="F362" s="14" t="str">
        <x:v>Known varieties/types: Karimunda, Panniyur-1 to Panniyur series, Thevam, Subhakara, Sreekara</x:v>
      </x:c>
      <x:c r="G362" s="14" t="str">
        <x:v>Kerala: Idukki, Wayanad, Kozhikode; Karnataka: Kodagu, Chikkamagaluru, Hassan; Tamil Nadu: Nilgiris; North East and Andaman pepper pockets</x:v>
      </x:c>
      <x:c r="H362" s="31" t="str">
        <x:v>Plastic crate, sack, carton, or loose count lot</x:v>
      </x:c>
      <x:c r="I362" s="31" t="str">
        <x:v>₹/kg, ₹/piece, ₹/dozen, ₹/crate, or ₹/bag</x:v>
      </x:c>
      <x:c r="J362" s="31" t="str">
        <x:v>Count and net weight vary; capture both pieces and kg when possible</x:v>
      </x:c>
      <x:c r="K362" s="31" t="str">
        <x:v>If count-based, value by piece/dozen. If weight-based, normalize to ₹/kg. For crate/bag, divide price by net kg.</x:v>
      </x:c>
      <x:c r="L362" s="31" t="str">
        <x:v>₹/kg or ₹/piece</x:v>
      </x:c>
    </x:row>
    <x:row r="363" ht="74" customHeight="1">
      <x:c r="A363" s="14" t="str">
        <x:v>P0362</x:v>
      </x:c>
      <x:c r="B363" s="14" t="str">
        <x:v>ADDITIONAL LEAFY GREENS</x:v>
      </x:c>
      <x:c r="C363" s="14" t="str">
        <x:v>Red Spinach</x:v>
      </x:c>
      <x:c r="D363" s="14" t="str">
        <x:v>लाल साग / लाल पालक</x:v>
      </x:c>
      <x:c r="E363" s="14" t="str">
        <x:v>laal saag / laal palak, red spinach, red saag</x:v>
      </x:c>
      <x:c r="F363" s="14" t="str">
        <x:v>Known varieties/types: CO-1, CO-2, red amaranth, green amaranth, local chaulai types</x:v>
      </x:c>
      <x:c r="G363" s="14" t="str">
        <x:v>Tamil Nadu, Kerala, Karnataka, Andhra/Telangana, West Bengal, Odisha, Maharashtra and Gujarat leafy-green belts; areas include Coimbatore, Thrissur, Kolar, Guntur, Nadia, Cuttack and Pune</x:v>
      </x:c>
      <x:c r="H363" s="31" t="str">
        <x:v>Bunches/bundles in plastic crate, bamboo basket, sack, or moist-lined carton</x:v>
      </x:c>
      <x:c r="I363" s="31" t="str">
        <x:v>₹/bunch, ₹/bundle, ₹/kg, or ₹/crate</x:v>
      </x:c>
      <x:c r="J363" s="31" t="str">
        <x:v>Bundle size varies heavily; capture bunch count and sample bundle weight</x:v>
      </x:c>
      <x:c r="K363" s="31" t="str">
        <x:v>Value by bunch if market quote is bunch-based. For analytics, normalize to ₹/kg only after sample weighing: ₹/kg = crate/bundle lot price ÷ net kg.</x:v>
      </x:c>
      <x:c r="L363" s="31" t="str">
        <x:v>₹/bunch and ₹/kg</x:v>
      </x:c>
    </x:row>
    <x:row r="364" ht="74" customHeight="1">
      <x:c r="A364" s="14" t="str">
        <x:v>P0363</x:v>
      </x:c>
      <x:c r="B364" s="14" t="str">
        <x:v>ADDITIONAL LEAFY GREENS</x:v>
      </x:c>
      <x:c r="C364" s="14" t="str">
        <x:v>Mustard Greens</x:v>
      </x:c>
      <x:c r="D364" s="14" t="str">
        <x:v>सरसों का साग</x:v>
      </x:c>
      <x:c r="E364" s="14" t="str">
        <x:v>sarson ka saag, mustard greens</x:v>
      </x:c>
      <x:c r="F364" s="14" t="str">
        <x:v>Known varieties/types: Pusa Bold, Pusa Mustard-25/26/30, Varuna, Rohini, RH-749, yellow sarson and brown rai types</x:v>
      </x:c>
      <x:c r="G364" s="14" t="str">
        <x:v>Rajasthan: Bharatpur, Alwar, Jaipur, Sikar, Ganganagar, Hanumangarh; Haryana: Hisar, Bhiwani, Sirsa, Mahendragarh; Uttar Pradesh: Agra, Mathura, Aligarh, Kanpur; Madhya Pradesh: Morena, Bhind, Gwalior; Gujarat: Banaskantha, Mehsana</x:v>
      </x:c>
      <x:c r="H364" s="31" t="str">
        <x:v>Bunches/bundles in plastic crate, bamboo basket, sack, or moist-lined carton</x:v>
      </x:c>
      <x:c r="I364" s="31" t="str">
        <x:v>₹/bunch, ₹/bundle, ₹/kg, or ₹/crate</x:v>
      </x:c>
      <x:c r="J364" s="31" t="str">
        <x:v>Bundle size varies heavily; capture bunch count and sample bundle weight</x:v>
      </x:c>
      <x:c r="K364" s="31" t="str">
        <x:v>Value by bunch if market quote is bunch-based. For analytics, normalize to ₹/kg only after sample weighing: ₹/kg = crate/bundle lot price ÷ net kg.</x:v>
      </x:c>
      <x:c r="L364" s="31" t="str">
        <x:v>₹/bunch and ₹/kg</x:v>
      </x:c>
    </x:row>
    <x:row r="365" ht="74" customHeight="1">
      <x:c r="A365" s="14" t="str">
        <x:v>P0364</x:v>
      </x:c>
      <x:c r="B365" s="14" t="str">
        <x:v>ADDITIONAL LEAFY GREENS</x:v>
      </x:c>
      <x:c r="C365" s="14" t="str">
        <x:v>Fenugreek Microgreens</x:v>
      </x:c>
      <x:c r="D365" s="14" t="str">
        <x:v>मेथी माइक्रोग्रीन्स</x:v>
      </x:c>
      <x:c r="E365" s="14" t="str">
        <x:v>methi microgreens</x:v>
      </x:c>
      <x:c r="F365" s="14" t="str">
        <x:v>Known varieties/types: Kasuri methi, Pusa Early Bunching, RMt types, fresh methi and microgreen types</x:v>
      </x:c>
      <x:c r="G365" s="14" t="str">
        <x:v>Rajasthan: Jaipur, Sikar; Gujarat: Mehsana, Banaskantha; Madhya Pradesh: Indore, Ujjain; Maharashtra: Pune/Nashik; Haryana/Delhi NCR winter leafy-green belts</x:v>
      </x:c>
      <x:c r="H365" s="31" t="str">
        <x:v>Bunches/bundles in plastic crate, bamboo basket, sack, or moist-lined carton</x:v>
      </x:c>
      <x:c r="I365" s="31" t="str">
        <x:v>₹/bunch, ₹/bundle, ₹/kg, or ₹/crate</x:v>
      </x:c>
      <x:c r="J365" s="31" t="str">
        <x:v>Bundle size varies heavily; capture bunch count and sample bundle weight</x:v>
      </x:c>
      <x:c r="K365" s="31" t="str">
        <x:v>Value by bunch if market quote is bunch-based. For analytics, normalize to ₹/kg only after sample weighing: ₹/kg = crate/bundle lot price ÷ net kg.</x:v>
      </x:c>
      <x:c r="L365" s="31" t="str">
        <x:v>₹/bunch and ₹/kg</x:v>
      </x:c>
    </x:row>
    <x:row r="366" ht="74" customHeight="1">
      <x:c r="A366" s="14" t="str">
        <x:v>P0365</x:v>
      </x:c>
      <x:c r="B366" s="14" t="str">
        <x:v>ADDITIONAL LEAFY GREENS</x:v>
      </x:c>
      <x:c r="C366" s="14" t="str">
        <x:v>Sunflower Microgreens</x:v>
      </x:c>
      <x:c r="D366" s="14" t="str">
        <x:v>सूरजमुखी माइक्रोग्रीन्स</x:v>
      </x:c>
      <x:c r="E366" s="14" t="str">
        <x:v>soorajmukhi microgreens, sunflower microgreens</x:v>
      </x:c>
      <x:c r="F366" s="14" t="str">
        <x:v>Known varieties/types: KBSH-44, PAC hybrids, Morden, hybrid sunflower seed types</x:v>
      </x:c>
      <x:c r="G366" s="14" t="str">
        <x:v>Karnataka: Vijayapura, Bagalkot, Raichur; Maharashtra: Solapur, Latur; Andhra Pradesh/Telangana dryland belts; Tamil Nadu: Erode, Coimbatore</x:v>
      </x:c>
      <x:c r="H366" s="31" t="str">
        <x:v>Bunches/bundles in plastic crate, bamboo basket, sack, or moist-lined carton</x:v>
      </x:c>
      <x:c r="I366" s="31" t="str">
        <x:v>₹/bunch, ₹/bundle, ₹/kg, or ₹/crate</x:v>
      </x:c>
      <x:c r="J366" s="31" t="str">
        <x:v>Bundle size varies heavily; capture bunch count and sample bundle weight</x:v>
      </x:c>
      <x:c r="K366" s="31" t="str">
        <x:v>Value by bunch if market quote is bunch-based. For analytics, normalize to ₹/kg only after sample weighing: ₹/kg = crate/bundle lot price ÷ net kg.</x:v>
      </x:c>
      <x:c r="L366" s="31" t="str">
        <x:v>₹/bunch and ₹/kg</x:v>
      </x:c>
    </x:row>
    <x:row r="367" ht="74" customHeight="1">
      <x:c r="A367" s="14" t="str">
        <x:v>P0366</x:v>
      </x:c>
      <x:c r="B367" s="14" t="str">
        <x:v>ADDITIONAL LEAFY GREENS</x:v>
      </x:c>
      <x:c r="C367" s="14" t="str">
        <x:v>Pea Shoots</x:v>
      </x:c>
      <x:c r="D367" s="14" t="str">
        <x:v>मटर शूट्स</x:v>
      </x:c>
      <x:c r="E367" s="14" t="str">
        <x:v>matar shoots, pea shoots</x:v>
      </x:c>
      <x:c r="F367" s="14" t="str">
        <x:v>Known varieties/types: Arkel, Bonneville, Azad P-1, Pant Uphar, snow peas and sugar snap peas</x:v>
      </x:c>
      <x:c r="G367" s="14" t="str">
        <x:v>Uttar Pradesh: Meerut, Saharanpur, Agra; Madhya Pradesh: Jabalpur, Sagar; Punjab/Haryana winter belts; Himachal/Uttarakhand hill peas; Karnataka/Tamil Nadu cool belts</x:v>
      </x:c>
      <x:c r="H367" s="31" t="str">
        <x:v>Bunches/bundles in plastic crate, bamboo basket, sack, or moist-lined carton</x:v>
      </x:c>
      <x:c r="I367" s="31" t="str">
        <x:v>₹/bunch, ₹/bundle, ₹/kg, or ₹/crate</x:v>
      </x:c>
      <x:c r="J367" s="31" t="str">
        <x:v>Bundle size varies heavily; capture bunch count and sample bundle weight</x:v>
      </x:c>
      <x:c r="K367" s="31" t="str">
        <x:v>Value by bunch if market quote is bunch-based. For analytics, normalize to ₹/kg only after sample weighing: ₹/kg = crate/bundle lot price ÷ net kg.</x:v>
      </x:c>
      <x:c r="L367" s="31" t="str">
        <x:v>₹/bunch and ₹/kg</x:v>
      </x:c>
    </x:row>
    <x:row r="368" ht="74" customHeight="1">
      <x:c r="A368" s="14" t="str">
        <x:v>P0367</x:v>
      </x:c>
      <x:c r="B368" s="14" t="str">
        <x:v>ADDITIONAL LEAFY GREENS</x:v>
      </x:c>
      <x:c r="C368" s="14" t="str">
        <x:v>Rocket Leaves / Arugula</x:v>
      </x:c>
      <x:c r="D368" s="14" t="str">
        <x:v>रॉकेट लीव्स / अरुगुला</x:v>
      </x:c>
      <x:c r="E368" s="14" t="str">
        <x:v>rocket leaves / arugula, arugula, rocket leaves</x:v>
      </x:c>
      <x:c r="F368" s="14" t="str">
        <x:v>Known varieties/types: arugula/rocket leaves, wild rocket and salad rocket types</x:v>
      </x:c>
      <x:c r="G368" s="14" t="str">
        <x:v>Niche salad/protected cultivation around Delhi NCR, Pune, Bengaluru, Hyderabad, Solan and Dehradun</x:v>
      </x:c>
      <x:c r="H368" s="31" t="str">
        <x:v>Bunches/bundles in plastic crate, bamboo basket, sack, or moist-lined carton</x:v>
      </x:c>
      <x:c r="I368" s="31" t="str">
        <x:v>₹/bunch, ₹/bundle, ₹/kg, or ₹/crate</x:v>
      </x:c>
      <x:c r="J368" s="31" t="str">
        <x:v>Bundle size varies heavily; capture bunch count and sample bundle weight</x:v>
      </x:c>
      <x:c r="K368" s="31" t="str">
        <x:v>Value by bunch if market quote is bunch-based. For analytics, normalize to ₹/kg only after sample weighing: ₹/kg = crate/bundle lot price ÷ net kg.</x:v>
      </x:c>
      <x:c r="L368" s="31" t="str">
        <x:v>₹/bunch and ₹/kg</x:v>
      </x:c>
    </x:row>
    <x:row r="369" ht="74" customHeight="1">
      <x:c r="A369" s="14" t="str">
        <x:v>P0368</x:v>
      </x:c>
      <x:c r="B369" s="14" t="str">
        <x:v>ADDITIONAL HERBS</x:v>
      </x:c>
      <x:c r="C369" s="14" t="str">
        <x:v>Marjoram</x:v>
      </x:c>
      <x:c r="D369" s="14" t="str">
        <x:v>मरजोरम</x:v>
      </x:c>
      <x:c r="E369" s="14" t="str">
        <x:v>marjoram</x:v>
      </x:c>
      <x:c r="F369" s="14" t="str">
        <x:v>Known varieties/types: sweet marjoram and oregano-marjoram herb types</x:v>
      </x:c>
      <x:c r="G369" s="14" t="str">
        <x:v>Niche herb cultivation around Pune, Bengaluru, Delhi NCR, Solan, Dehradun and Nilgiris</x:v>
      </x:c>
      <x:c r="H369" s="31" t="str">
        <x:v>Plastic crate, bamboo basket, gunny/HDPE sack, mesh bag, or loose lot</x:v>
      </x:c>
      <x:c r="I369" s="31" t="str">
        <x:v>₹/kg, ₹/crate, ₹/bag, ₹/piece, or lot rate</x:v>
      </x:c>
      <x:c r="J369" s="31" t="str">
        <x:v>Typical vegetable crates/bags are 10-30 kg; heavier sacks may be 40-50 kg</x:v>
      </x:c>
      <x:c r="K369" s="31" t="str">
        <x:v>Normalize to ₹/kg. If quoted per crate/bag, use actual net weight after tare. Keep grade/size/quality note with quote.</x:v>
      </x:c>
      <x:c r="L369" s="31" t="str">
        <x:v>₹/kg</x:v>
      </x:c>
    </x:row>
    <x:row r="370" ht="74" customHeight="1">
      <x:c r="A370" s="14" t="str">
        <x:v>P0369</x:v>
      </x:c>
      <x:c r="B370" s="14" t="str">
        <x:v>ADDITIONAL HERBS</x:v>
      </x:c>
      <x:c r="C370" s="14" t="str">
        <x:v>Sage</x:v>
      </x:c>
      <x:c r="D370" s="14" t="str">
        <x:v>सेज</x:v>
      </x:c>
      <x:c r="E370" s="14" t="str">
        <x:v>sage</x:v>
      </x:c>
      <x:c r="F370" s="14" t="str">
        <x:v>Known varieties/types: common sage and garden sage; niche herb cultivation</x:v>
      </x:c>
      <x:c r="G370" s="14" t="str">
        <x:v>Niche herb cultivation around Pune, Bengaluru, Delhi NCR, Solan, Dehradun and Nilgiris</x:v>
      </x:c>
      <x:c r="H370" s="31" t="str">
        <x:v>Plastic crate, bamboo basket, gunny/HDPE sack, mesh bag, or loose lot</x:v>
      </x:c>
      <x:c r="I370" s="31" t="str">
        <x:v>₹/kg, ₹/crate, ₹/bag, ₹/piece, or lot rate</x:v>
      </x:c>
      <x:c r="J370" s="31" t="str">
        <x:v>Typical vegetable crates/bags are 10-30 kg; heavier sacks may be 40-50 kg</x:v>
      </x:c>
      <x:c r="K370" s="31" t="str">
        <x:v>Normalize to ₹/kg. If quoted per crate/bag, use actual net weight after tare. Keep grade/size/quality note with quote.</x:v>
      </x:c>
      <x:c r="L370" s="31" t="str">
        <x:v>₹/kg</x:v>
      </x:c>
    </x:row>
    <x:row r="371" ht="74" customHeight="1">
      <x:c r="A371" s="14" t="str">
        <x:v>P0370</x:v>
      </x:c>
      <x:c r="B371" s="14" t="str">
        <x:v>ADDITIONAL HERBS</x:v>
      </x:c>
      <x:c r="C371" s="14" t="str">
        <x:v>Tarragon</x:v>
      </x:c>
      <x:c r="D371" s="14" t="str">
        <x:v>टैरागोन</x:v>
      </x:c>
      <x:c r="E371" s="14" t="str">
        <x:v>tarragon</x:v>
      </x:c>
      <x:c r="F371" s="14" t="str">
        <x:v>Known varieties/types: French tarragon and Russian tarragon; niche herb cultivation</x:v>
      </x:c>
      <x:c r="G371" s="14" t="str">
        <x:v>Niche herb cultivation around Pune, Bengaluru, Delhi NCR, Solan, Dehradun and Nilgiris</x:v>
      </x:c>
      <x:c r="H371" s="31" t="str">
        <x:v>Plastic crate, bamboo basket, gunny/HDPE sack, mesh bag, or loose lot</x:v>
      </x:c>
      <x:c r="I371" s="31" t="str">
        <x:v>₹/kg, ₹/crate, ₹/bag, ₹/piece, or lot rate</x:v>
      </x:c>
      <x:c r="J371" s="31" t="str">
        <x:v>Typical vegetable crates/bags are 10-30 kg; heavier sacks may be 40-50 kg</x:v>
      </x:c>
      <x:c r="K371" s="31" t="str">
        <x:v>Normalize to ₹/kg. If quoted per crate/bag, use actual net weight after tare. Keep grade/size/quality note with quote.</x:v>
      </x:c>
      <x:c r="L371" s="31" t="str">
        <x:v>₹/kg</x:v>
      </x:c>
    </x:row>
    <x:row r="372" ht="74" customHeight="1">
      <x:c r="A372" s="14" t="str">
        <x:v>P0371</x:v>
      </x:c>
      <x:c r="B372" s="14" t="str">
        <x:v>ADDITIONAL HERBS</x:v>
      </x:c>
      <x:c r="C372" s="14" t="str">
        <x:v>Mint Sprigs</x:v>
      </x:c>
      <x:c r="D372" s="14" t="str">
        <x:v>पुदीना डंठल</x:v>
      </x:c>
      <x:c r="E372" s="14" t="str">
        <x:v>pudina danthal, mint sprigs</x:v>
      </x:c>
      <x:c r="F372" s="14" t="str">
        <x:v>Known varieties/types: Kosi, Himalaya, Kushal, Shivalik, mentha/mint sprigs market types</x:v>
      </x:c>
      <x:c r="G372" s="14" t="str">
        <x:v>Uttar Pradesh: Barabanki, Sitapur, Badaun, Moradabad; Punjab/Haryana pockets; fresh mint around Delhi NCR, Pune, Bengaluru and Hyderabad peri-urban belts</x:v>
      </x:c>
      <x:c r="H372" s="31" t="str">
        <x:v>Bunches/bundles in plastic crate, bamboo basket, sack, or moist-lined carton</x:v>
      </x:c>
      <x:c r="I372" s="31" t="str">
        <x:v>₹/bunch, ₹/bundle, ₹/kg, or ₹/crate</x:v>
      </x:c>
      <x:c r="J372" s="31" t="str">
        <x:v>Bundle size varies heavily; capture bunch count and sample bundle weight</x:v>
      </x:c>
      <x:c r="K372" s="31" t="str">
        <x:v>Value by bunch if market quote is bunch-based. For analytics, normalize to ₹/kg only after sample weighing: ₹/kg = crate/bundle lot price ÷ net kg.</x:v>
      </x:c>
      <x:c r="L372" s="31" t="str">
        <x:v>₹/bunch and ₹/kg</x:v>
      </x:c>
    </x:row>
    <x:row r="373" ht="74" customHeight="1">
      <x:c r="A373" s="14" t="str">
        <x:v>P0372</x:v>
      </x:c>
      <x:c r="B373" s="14" t="str">
        <x:v>ADDITIONAL HERBS</x:v>
      </x:c>
      <x:c r="C373" s="14" t="str">
        <x:v>Coriander Root</x:v>
      </x:c>
      <x:c r="D373" s="14" t="str">
        <x:v>धनिया जड़</x:v>
      </x:c>
      <x:c r="E373" s="14" t="str">
        <x:v>dhaniya jad, coriander root</x:v>
      </x:c>
      <x:c r="F373" s="14" t="str">
        <x:v>Known varieties/types: CO-1/2, Gujarat Coriander, RCr series; leaf coriander and seed coriander types</x:v>
      </x:c>
      <x:c r="G373" s="14" t="str">
        <x:v>Rajasthan: Kota, Jhalawar, Baran; Gujarat: Banaskantha, Mehsana; Madhya Pradesh: Mandsaur, Neemuch; fresh leaf belts around Pune, Nashik, Delhi NCR, Bengaluru and Hyderabad</x:v>
      </x:c>
      <x:c r="H373" s="31" t="str">
        <x:v>Bunches/bundles in plastic crate, bamboo basket, sack, or moist-lined carton</x:v>
      </x:c>
      <x:c r="I373" s="31" t="str">
        <x:v>₹/bunch, ₹/bundle, ₹/kg, or ₹/crate</x:v>
      </x:c>
      <x:c r="J373" s="31" t="str">
        <x:v>Bundle size varies heavily; capture bunch count and sample bundle weight</x:v>
      </x:c>
      <x:c r="K373" s="31" t="str">
        <x:v>Value by bunch if market quote is bunch-based. For analytics, normalize to ₹/kg only after sample weighing: ₹/kg = crate/bundle lot price ÷ net kg.</x:v>
      </x:c>
      <x:c r="L373" s="31" t="str">
        <x:v>₹/bunch and ₹/kg</x:v>
      </x:c>
    </x:row>
    <x:row r="374" ht="74" customHeight="1">
      <x:c r="A374" s="14" t="str">
        <x:v>P0373</x:v>
      </x:c>
      <x:c r="B374" s="14" t="str">
        <x:v>ADDITIONAL SPICES</x:v>
      </x:c>
      <x:c r="C374" s="14" t="str">
        <x:v>Green Cardamom</x:v>
      </x:c>
      <x:c r="D374" s="14" t="str">
        <x:v>छोटी इलायची</x:v>
      </x:c>
      <x:c r="E374" s="14" t="str">
        <x:v>chhoti elaichi, green cardamom</x:v>
      </x:c>
      <x:c r="F374" s="14" t="str">
        <x:v>Known varieties/types: Malabar, Mysore, Vazhukka, Njallani, Green Gold, ICRI selections</x:v>
      </x:c>
      <x:c r="G374" s="14" t="str">
        <x:v>Kerala: Idukki/Cardamom Hills; Karnataka: Kodagu, Chikkamagaluru; Tamil Nadu: Nilgiris, Dindigul; plantation belts in Western Ghats</x:v>
      </x:c>
      <x:c r="H374" s="31" t="str">
        <x:v>Jute/gunny bag, HDPE sack, carton, or small bale for high-value spices</x:v>
      </x:c>
      <x:c r="I374" s="31" t="str">
        <x:v>₹/kg, ₹/quintal, or ₹/bag</x:v>
      </x:c>
      <x:c r="J374" s="31" t="str">
        <x:v>Typical wholesale sacks 25-50 kg; premium spices may be 5-10 kg cartons</x:v>
      </x:c>
      <x:c r="K374" s="31" t="str">
        <x:v>Normalize to ₹/kg for high-value spices and ₹/quintal for bulk spice seed. If quoted per bag, divide by net kg.</x:v>
      </x:c>
      <x:c r="L374" s="31" t="str">
        <x:v>₹/kg</x:v>
      </x:c>
    </x:row>
    <x:row r="375" ht="74" customHeight="1">
      <x:c r="A375" s="14" t="str">
        <x:v>P0374</x:v>
      </x:c>
      <x:c r="B375" s="14" t="str">
        <x:v>ADDITIONAL SPICES</x:v>
      </x:c>
      <x:c r="C375" s="14" t="str">
        <x:v>Black Cardamom</x:v>
      </x:c>
      <x:c r="D375" s="14" t="str">
        <x:v>बड़ी इलायची</x:v>
      </x:c>
      <x:c r="E375" s="14" t="str">
        <x:v>badi elaichi, black cardamom</x:v>
      </x:c>
      <x:c r="F375" s="14" t="str">
        <x:v>Known varieties/types: Ramsey, Sawney, Varlangey, Seremna, Dzongu types</x:v>
      </x:c>
      <x:c r="G375" s="14" t="str">
        <x:v>Sikkim: Gangtok/East, North Sikkim, South Sikkim; West Bengal: Darjeeling/Kalimpong; Arunachal Pradesh and Nagaland hill belts</x:v>
      </x:c>
      <x:c r="H375" s="31" t="str">
        <x:v>Jute/gunny bag, HDPE sack, carton, or small bale for high-value spices</x:v>
      </x:c>
      <x:c r="I375" s="31" t="str">
        <x:v>₹/kg, ₹/quintal, or ₹/bag</x:v>
      </x:c>
      <x:c r="J375" s="31" t="str">
        <x:v>Typical wholesale sacks 25-50 kg; premium spices may be 5-10 kg cartons</x:v>
      </x:c>
      <x:c r="K375" s="31" t="str">
        <x:v>Normalize to ₹/kg for high-value spices and ₹/quintal for bulk spice seed. If quoted per bag, divide by net kg.</x:v>
      </x:c>
      <x:c r="L375" s="31" t="str">
        <x:v>₹/kg</x:v>
      </x:c>
    </x:row>
    <x:row r="376" ht="74" customHeight="1">
      <x:c r="A376" s="14" t="str">
        <x:v>P0375</x:v>
      </x:c>
      <x:c r="B376" s="14" t="str">
        <x:v>ADDITIONAL SPICES</x:v>
      </x:c>
      <x:c r="C376" s="14" t="str">
        <x:v>Nutmeg Flower / Mace</x:v>
      </x:c>
      <x:c r="D376" s="14" t="str">
        <x:v>जावित्री</x:v>
      </x:c>
      <x:c r="E376" s="14" t="str">
        <x:v>javitri, mace</x:v>
      </x:c>
      <x:c r="F376" s="14" t="str">
        <x:v>Known varieties/types: mace from nutmeg varieties; quality by blade color and aroma, not cultivar in mandi trade</x:v>
      </x:c>
      <x:c r="G376" s="14" t="str">
        <x:v>Kerala: Idukki, Ernakulam; Tamil Nadu: Nilgiris/Kanyakumari; Karnataka: Kodagu; same nutmeg orchards produce mace</x:v>
      </x:c>
      <x:c r="H376" s="31" t="str">
        <x:v>Jute/gunny bag, HDPE sack, carton, or small bale for high-value spices</x:v>
      </x:c>
      <x:c r="I376" s="31" t="str">
        <x:v>₹/kg, ₹/quintal, or ₹/bag</x:v>
      </x:c>
      <x:c r="J376" s="31" t="str">
        <x:v>Typical wholesale sacks 25-50 kg; premium spices may be 5-10 kg cartons</x:v>
      </x:c>
      <x:c r="K376" s="31" t="str">
        <x:v>Normalize to ₹/kg for high-value spices and ₹/quintal for bulk spice seed. If quoted per bag, divide by net kg.</x:v>
      </x:c>
      <x:c r="L376" s="31" t="str">
        <x:v>₹/kg</x:v>
      </x:c>
    </x:row>
    <x:row r="377" ht="74" customHeight="1">
      <x:c r="A377" s="14" t="str">
        <x:v>P0376</x:v>
      </x:c>
      <x:c r="B377" s="14" t="str">
        <x:v>ADDITIONAL SPICES</x:v>
      </x:c>
      <x:c r="C377" s="14" t="str">
        <x:v>Dry Red Chilli Whole</x:v>
      </x:c>
      <x:c r="D377" s="14" t="str">
        <x:v>साबुत लाल मिर्च</x:v>
      </x:c>
      <x:c r="E377" s="14" t="str">
        <x:v>sabut laal mirch, dry red chilli whole</x:v>
      </x:c>
      <x:c r="F377" s="14" t="str">
        <x:v>Known varieties/types: Guntur Sannam, Teja, Byadgi, Kashmiri, Mathania, Mundu/round chilli, Bhiwapur, Kanthari</x:v>
      </x:c>
      <x:c r="G377" s="14" t="str">
        <x:v>Andhra Pradesh: Guntur, Prakasam; Telangana: Warangal, Khammam; Karnataka: Haveri, Dharwad/Byadgi; Maharashtra: Nagpur, Nandurbar; Rajasthan: Jodhpur/Mathania; Tamil Nadu: Ramanathapuram; Kashmir chilli pockets</x:v>
      </x:c>
      <x:c r="H377" s="31" t="str">
        <x:v>Jute/gunny bag, HDPE sack, carton, or small bale for high-value spices</x:v>
      </x:c>
      <x:c r="I377" s="31" t="str">
        <x:v>₹/kg, ₹/quintal, or ₹/bag</x:v>
      </x:c>
      <x:c r="J377" s="31" t="str">
        <x:v>Typical wholesale sacks 25-50 kg; premium spices may be 5-10 kg cartons</x:v>
      </x:c>
      <x:c r="K377" s="31" t="str">
        <x:v>Normalize to ₹/kg for high-value spices and ₹/quintal for bulk spice seed. If quoted per bag, divide by net kg.</x:v>
      </x:c>
      <x:c r="L377" s="31" t="str">
        <x:v>₹/kg</x:v>
      </x:c>
    </x:row>
    <x:row r="378" ht="74" customHeight="1">
      <x:c r="A378" s="14" t="str">
        <x:v>P0377</x:v>
      </x:c>
      <x:c r="B378" s="14" t="str">
        <x:v>ADDITIONAL SPICES</x:v>
      </x:c>
      <x:c r="C378" s="14" t="str">
        <x:v>Fresh Red Chilli</x:v>
      </x:c>
      <x:c r="D378" s="14" t="str">
        <x:v>ताज़ी लाल मिर्च</x:v>
      </x:c>
      <x:c r="E378" s="14" t="str">
        <x:v>taazi laal mirch, fresh red chilli</x:v>
      </x:c>
      <x:c r="F378" s="14" t="str">
        <x:v>Known varieties/types: Pusa Jwala, Teja, Byadgi, Guntur Sannam, Kashmiri, Jwala, round chilli, fresh red chilli</x:v>
      </x:c>
      <x:c r="G378" s="14" t="str">
        <x:v>Andhra Pradesh: Guntur, Prakasam, Krishna; Telangana: Warangal, Khammam; Karnataka: Haveri, Dharwad; Maharashtra: Nagpur, Nandurbar; Rajasthan: Jodhpur/Mathania; Tamil Nadu: Ramanathapuram, Virudhunagar; Kashmir chilli pockets</x:v>
      </x:c>
      <x:c r="H378" s="31" t="str">
        <x:v>Plastic crate, ventilated sack, or small carton depending on freshness and distance</x:v>
      </x:c>
      <x:c r="I378" s="31" t="str">
        <x:v>₹/kg, ₹/crate, or ₹/bag</x:v>
      </x:c>
      <x:c r="J378" s="31" t="str">
        <x:v>Fresh spice packs often 5-25 kg; capture net weight and grade</x:v>
      </x:c>
      <x:c r="K378" s="31" t="str">
        <x:v>Normalize to ₹/kg. If quoted per crate/bag, divide by actual net kg after tare.</x:v>
      </x:c>
      <x:c r="L378" s="31" t="str">
        <x:v>₹/kg</x:v>
      </x:c>
    </x:row>
    <x:row r="379" ht="74" customHeight="1">
      <x:c r="A379" s="14" t="str">
        <x:v>P0378</x:v>
      </x:c>
      <x:c r="B379" s="14" t="str">
        <x:v>ADDITIONAL SPICES</x:v>
      </x:c>
      <x:c r="C379" s="14" t="str">
        <x:v>Curry Leaf Dried</x:v>
      </x:c>
      <x:c r="D379" s="14" t="str">
        <x:v>सूखा करी पत्ता</x:v>
      </x:c>
      <x:c r="E379" s="14" t="str">
        <x:v>sookha curry patta, dry curry leaves</x:v>
      </x:c>
      <x:c r="F379" s="14" t="str">
        <x:v>Known varieties/types: local curry leaf selections; dwarf and regular types</x:v>
      </x:c>
      <x:c r="G379" s="14" t="str">
        <x:v>Tamil Nadu: Coimbatore, Erode, Dindigul; Karnataka: Bengaluru Rural, Kolar; Andhra/Telangana: Guntur, Warangal; Kerala and Maharashtra kitchen-garden/commercial belts</x:v>
      </x:c>
      <x:c r="H379" s="31" t="str">
        <x:v>Plastic crate, ventilated sack, or small carton depending on freshness and distance</x:v>
      </x:c>
      <x:c r="I379" s="31" t="str">
        <x:v>₹/kg, ₹/crate, or ₹/bag</x:v>
      </x:c>
      <x:c r="J379" s="31" t="str">
        <x:v>Fresh spice packs often 5-25 kg; capture net weight and grade</x:v>
      </x:c>
      <x:c r="K379" s="31" t="str">
        <x:v>Normalize to ₹/kg. If quoted per crate/bag, divide by actual net kg after tare.</x:v>
      </x:c>
      <x:c r="L379" s="31" t="str">
        <x:v>₹/kg</x:v>
      </x:c>
    </x:row>
    <x:row r="380" ht="74" customHeight="1">
      <x:c r="A380" s="14" t="str">
        <x:v>P0379</x:v>
      </x:c>
      <x:c r="B380" s="14" t="str">
        <x:v>ADDITIONAL NUTS / DRY FRUITS</x:v>
      </x:c>
      <x:c r="C380" s="14" t="str">
        <x:v>Hazelnut</x:v>
      </x:c>
      <x:c r="D380" s="14" t="str">
        <x:v>हेज़लनट</x:v>
      </x:c>
      <x:c r="E380" s="14" t="str">
        <x:v>hazelnut</x:v>
      </x:c>
      <x:c r="F380" s="14" t="str">
        <x:v>Known varieties/types: mostly imported; niche Himalayan trials, cultivar data limited</x:v>
      </x:c>
      <x:c r="G380" s="14" t="str">
        <x:v>Mostly imported; niche Himalayan trials in Kashmir, Himachal, Uttarakhand and North East; no large domestic production belt</x:v>
      </x:c>
      <x:c r="H380" s="31" t="str">
        <x:v>Carton, tin, vacuum pouch inside carton, or HDPE/jute sack for bulk lots</x:v>
      </x:c>
      <x:c r="I380" s="31" t="str">
        <x:v>₹/kg, ₹/carton, or ₹/bag</x:v>
      </x:c>
      <x:c r="J380" s="31" t="str">
        <x:v>Dry fruit/nut cartons commonly 5-25 kg; raw nut bags may be 25-50 kg</x:v>
      </x:c>
      <x:c r="K380" s="31" t="str">
        <x:v>Normalize to ₹/kg. If carton/bag quote is given, ₹/kg = pack price ÷ net kg; keep grade/size count separately.</x:v>
      </x:c>
      <x:c r="L380" s="31" t="str">
        <x:v>₹/kg</x:v>
      </x:c>
    </x:row>
    <x:row r="381" ht="74" customHeight="1">
      <x:c r="A381" s="14" t="str">
        <x:v>P0380</x:v>
      </x:c>
      <x:c r="B381" s="14" t="str">
        <x:v>ADDITIONAL NUTS / DRY FRUITS</x:v>
      </x:c>
      <x:c r="C381" s="14" t="str">
        <x:v>Macadamia Nut</x:v>
      </x:c>
      <x:c r="D381" s="14" t="str">
        <x:v>मैकाडामिया नट</x:v>
      </x:c>
      <x:c r="E381" s="14" t="str">
        <x:v>macadamia nut, macadamia</x:v>
      </x:c>
      <x:c r="F381" s="14" t="str">
        <x:v>Known varieties/types: niche/mostly imported; cultivar data limited in India</x:v>
      </x:c>
      <x:c r="G381" s="14" t="str">
        <x:v>Mostly imported/niche; experimental or small farms in Karnataka, Kerala, Tamil Nadu and North East hill belts</x:v>
      </x:c>
      <x:c r="H381" s="31" t="str">
        <x:v>Carton, tin, vacuum pouch inside carton, or HDPE/jute sack for bulk lots</x:v>
      </x:c>
      <x:c r="I381" s="31" t="str">
        <x:v>₹/kg, ₹/carton, or ₹/bag</x:v>
      </x:c>
      <x:c r="J381" s="31" t="str">
        <x:v>Dry fruit/nut cartons commonly 5-25 kg; raw nut bags may be 25-50 kg</x:v>
      </x:c>
      <x:c r="K381" s="31" t="str">
        <x:v>Normalize to ₹/kg. If carton/bag quote is given, ₹/kg = pack price ÷ net kg; keep grade/size count separately.</x:v>
      </x:c>
      <x:c r="L381" s="31" t="str">
        <x:v>₹/kg</x:v>
      </x:c>
    </x:row>
    <x:row r="382" ht="74" customHeight="1">
      <x:c r="A382" s="14" t="str">
        <x:v>P0381</x:v>
      </x:c>
      <x:c r="B382" s="14" t="str">
        <x:v>ADDITIONAL NUTS / DRY FRUITS</x:v>
      </x:c>
      <x:c r="C382" s="14" t="str">
        <x:v>Pecan Nut</x:v>
      </x:c>
      <x:c r="D382" s="14" t="str">
        <x:v>पेकान नट</x:v>
      </x:c>
      <x:c r="E382" s="14" t="str">
        <x:v>pecan nut, pecan</x:v>
      </x:c>
      <x:c r="F382" s="14" t="str">
        <x:v>Known varieties/types: niche/mostly imported; cultivar data limited in India</x:v>
      </x:c>
      <x:c r="G382" s="14" t="str">
        <x:v>Mostly imported/niche; limited hill trials in Himachal Pradesh, Uttarakhand and Jammu &amp; Kashmir</x:v>
      </x:c>
      <x:c r="H382" s="31" t="str">
        <x:v>Carton, tin, vacuum pouch inside carton, or HDPE/jute sack for bulk lots</x:v>
      </x:c>
      <x:c r="I382" s="31" t="str">
        <x:v>₹/kg, ₹/carton, or ₹/bag</x:v>
      </x:c>
      <x:c r="J382" s="31" t="str">
        <x:v>Dry fruit/nut cartons commonly 5-25 kg; raw nut bags may be 25-50 kg</x:v>
      </x:c>
      <x:c r="K382" s="31" t="str">
        <x:v>Normalize to ₹/kg. If carton/bag quote is given, ₹/kg = pack price ÷ net kg; keep grade/size count separately.</x:v>
      </x:c>
      <x:c r="L382" s="31" t="str">
        <x:v>₹/kg</x:v>
      </x:c>
    </x:row>
    <x:row r="383" ht="74" customHeight="1">
      <x:c r="A383" s="14" t="str">
        <x:v>P0382</x:v>
      </x:c>
      <x:c r="B383" s="14" t="str">
        <x:v>ADDITIONAL NUTS / DRY FRUITS</x:v>
      </x:c>
      <x:c r="C383" s="14" t="str">
        <x:v>Brazil Nut</x:v>
      </x:c>
      <x:c r="D383" s="14" t="str">
        <x:v>ब्राज़ील नट</x:v>
      </x:c>
      <x:c r="E383" s="14" t="str">
        <x:v>brazil nut</x:v>
      </x:c>
      <x:c r="F383" s="14" t="str">
        <x:v>Known varieties/types: imported Brazil nut; no mainstream Indian cultivation</x:v>
      </x:c>
      <x:c r="G383" s="14" t="str">
        <x:v>Imported; no mainstream Indian growing areas</x:v>
      </x:c>
      <x:c r="H383" s="31" t="str">
        <x:v>Carton, tin, vacuum pouch inside carton, or HDPE/jute sack for bulk lots</x:v>
      </x:c>
      <x:c r="I383" s="31" t="str">
        <x:v>₹/kg, ₹/carton, or ₹/bag</x:v>
      </x:c>
      <x:c r="J383" s="31" t="str">
        <x:v>Dry fruit/nut cartons commonly 5-25 kg; raw nut bags may be 25-50 kg</x:v>
      </x:c>
      <x:c r="K383" s="31" t="str">
        <x:v>Normalize to ₹/kg. If carton/bag quote is given, ₹/kg = pack price ÷ net kg; keep grade/size count separately.</x:v>
      </x:c>
      <x:c r="L383" s="31" t="str">
        <x:v>₹/kg</x:v>
      </x:c>
    </x:row>
    <x:row r="384" ht="74" customHeight="1">
      <x:c r="A384" s="14" t="str">
        <x:v>P0383</x:v>
      </x:c>
      <x:c r="B384" s="14" t="str">
        <x:v>ADDITIONAL MANDI / CASH CROPS</x:v>
      </x:c>
      <x:c r="C384" s="14" t="str">
        <x:v>Cocoa Beans</x:v>
      </x:c>
      <x:c r="D384" s="14" t="str">
        <x:v>कोको बीन्स</x:v>
      </x:c>
      <x:c r="E384" s="14" t="str">
        <x:v>cocoa beans</x:v>
      </x:c>
      <x:c r="F384" s="14" t="str">
        <x:v>Known varieties/types: Forastero, Criollo, Trinitario, Kerala/Tamil Nadu hybrid cocoa selections</x:v>
      </x:c>
      <x:c r="G384" s="14" t="str">
        <x:v>Kerala: Idukki, Wayanad; Karnataka: Dakshina Kannada, Kodagu; Tamil Nadu: Coimbatore, Dindigul; Andhra Pradesh: East/West Godavari; intercropped with coconut/arecanut</x:v>
      </x:c>
      <x:c r="H384" s="31" t="str">
        <x:v>Jute bag, HDPE sack, chest/carton, or bulk lot</x:v>
      </x:c>
      <x:c r="I384" s="31" t="str">
        <x:v>₹/kg, ₹/quintal, or ₹/bag</x:v>
      </x:c>
      <x:c r="J384" s="31" t="str">
        <x:v>Common bags/chests 25-60 kg depending on commodity; capture actual net weight</x:v>
      </x:c>
      <x:c r="K384" s="31" t="str">
        <x:v>Normalize to ₹/kg for quality-sensitive lots. If ₹/quintal is quoted, ₹/kg = rate ÷ 100.</x:v>
      </x:c>
      <x:c r="L384" s="31" t="str">
        <x:v>₹/kg</x:v>
      </x:c>
    </x:row>
    <x:row r="385" ht="74" customHeight="1">
      <x:c r="A385" s="14" t="str">
        <x:v>P0384</x:v>
      </x:c>
      <x:c r="B385" s="14" t="str">
        <x:v>ADDITIONAL MANDI / CASH CROPS</x:v>
      </x:c>
      <x:c r="C385" s="14" t="str">
        <x:v>Rubber</x:v>
      </x:c>
      <x:c r="D385" s="14" t="str">
        <x:v>रबर</x:v>
      </x:c>
      <x:c r="E385" s="14" t="str">
        <x:v>rubber, natural rubber</x:v>
      </x:c>
      <x:c r="F385" s="14" t="str">
        <x:v>Known varieties/types: Umran, Gola, Seb, Banarasi Karaka, Kaithali, Mehrun</x:v>
      </x:c>
      <x:c r="G385" s="14" t="str">
        <x:v>Rajasthan: Jaipur, Ajmer, Jodhpur, Barmer; Haryana: Hisar, Bhiwani; Punjab: Abohar, Fazilka; Gujarat: Kutch, Banaskantha; Maharashtra dry belts</x:v>
      </x:c>
      <x:c r="H385" s="31" t="str">
        <x:v>Bales, pressed bundles, jute/HDPE sacks, or loose auction lots</x:v>
      </x:c>
      <x:c r="I385" s="31" t="str">
        <x:v>₹/quintal, ₹/kg, ₹/bale, or lot rate</x:v>
      </x:c>
      <x:c r="J385" s="31" t="str">
        <x:v>Bale/bundle weight varies strongly; capture actual weighbridge/net lot weight</x:v>
      </x:c>
      <x:c r="K385" s="31" t="str">
        <x:v>For mandi analysis, normalize by weight: ₹/kg = total lot value ÷ net kg; ₹/quintal = ₹/kg × 100.</x:v>
      </x:c>
      <x:c r="L385" s="31" t="str">
        <x:v>₹/quintal</x:v>
      </x:c>
    </x:row>
    <x:row r="386" ht="74" customHeight="1">
      <x:c r="A386" s="14" t="str">
        <x:v>P0385</x:v>
      </x:c>
      <x:c r="B386" s="14" t="str">
        <x:v>ADDITIONAL MANDI / CASH CROPS</x:v>
      </x:c>
      <x:c r="C386" s="14" t="str">
        <x:v>Tobacco Leaf</x:v>
      </x:c>
      <x:c r="D386" s="14" t="str">
        <x:v>तंबाकू पत्ता</x:v>
      </x:c>
      <x:c r="E386" s="14" t="str">
        <x:v>tambaku patta, tobacco leaf</x:v>
      </x:c>
      <x:c r="F386" s="14" t="str">
        <x:v>Known varieties/types: FCV tobacco, bidi tobacco, chewing tobacco, Natu tobacco, varieties like Kanchan/VT and regional selections</x:v>
      </x:c>
      <x:c r="G386" s="14" t="str">
        <x:v>Andhra Pradesh: Prakasam, Guntur; Gujarat: Anand, Kheda, Vadodara; Karnataka: Mysuru, Hassan; Telangana: Khammam; Bihar/UP chewing and bidi tobacco pockets</x:v>
      </x:c>
      <x:c r="H386" s="31" t="str">
        <x:v>Bales, pressed bundles, jute/HDPE sacks, or loose auction lots</x:v>
      </x:c>
      <x:c r="I386" s="31" t="str">
        <x:v>₹/quintal, ₹/kg, ₹/bale, or lot rate</x:v>
      </x:c>
      <x:c r="J386" s="31" t="str">
        <x:v>Bale/bundle weight varies strongly; capture actual weighbridge/net lot weight</x:v>
      </x:c>
      <x:c r="K386" s="31" t="str">
        <x:v>For mandi analysis, normalize by weight: ₹/kg = total lot value ÷ net kg; ₹/quintal = ₹/kg × 100.</x:v>
      </x:c>
      <x:c r="L386" s="31" t="str">
        <x:v>₹/quintal</x:v>
      </x:c>
    </x:row>
    <x:row r="387" ht="74" customHeight="1">
      <x:c r="A387" s="14" t="str">
        <x:v>P0386</x:v>
      </x:c>
      <x:c r="B387" s="14" t="str">
        <x:v>ADDITIONAL MANDI / CASH CROPS</x:v>
      </x:c>
      <x:c r="C387" s="14" t="str">
        <x:v>Betel Nut Whole</x:v>
      </x:c>
      <x:c r="D387" s="14" t="str">
        <x:v>साबुत सुपारी</x:v>
      </x:c>
      <x:c r="E387" s="14" t="str">
        <x:v>sabut supari, whole areca nut</x:v>
      </x:c>
      <x:c r="F387" s="14" t="str">
        <x:v>Known varieties/types: Mangala, Sumangala, Sreemangala, Mohitnagar, Hirehalli Dwarf, chali and red-boiled supari types</x:v>
      </x:c>
      <x:c r="G387" s="14" t="str">
        <x:v>Karnataka: Shivamogga, Dakshina Kannada, Uttara Kannada, Chikkamagaluru; Kerala: Kasaragod, Kannur; Assam: Kamrup, Nagaon; Meghalaya and West Bengal pockets</x:v>
      </x:c>
      <x:c r="H387" s="31" t="str">
        <x:v>Jute/HDPE sack, carton, or crate depending on moisture and grade</x:v>
      </x:c>
      <x:c r="I387" s="31" t="str">
        <x:v>₹/kg, ₹/quintal, ₹/bag, ₹/carton, or lot rate</x:v>
      </x:c>
      <x:c r="J387" s="31" t="str">
        <x:v>Most dry/semi-dry lots use 25-50 kg bags; fresh/semi-fresh lots may use crates</x:v>
      </x:c>
      <x:c r="K387" s="31" t="str">
        <x:v>Normalize by net weight. ₹/kg = lot price ÷ net kg; ₹/quintal = ₹/kg × 100. Capture moisture/grade where relevant.</x:v>
      </x:c>
      <x:c r="L387" s="31" t="str">
        <x:v>₹/kg or ₹/quintal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50" hidden="0" customWidth="1"/>
    <x:col min="3" max="3" width="80" hidden="0" customWidth="1"/>
  </x:cols>
  <x:sheetData>
    <x:row r="1" ht="28" customHeight="1">
      <x:c r="A1" s="25" t="str">
        <x:v>Use</x:v>
      </x:c>
      <x:c r="B1" s="25" t="str">
        <x:v>Source</x:v>
      </x:c>
      <x:c r="C1" s="25" t="str">
        <x:v>URL</x:v>
      </x:c>
    </x:row>
    <x:row r="2">
      <x:c r="A2" s="14" t="str">
        <x:v>Commodity backbone</x:v>
      </x:c>
      <x:c r="B2" s="14" t="str">
        <x:v>e-NAM commodity list</x:v>
      </x:c>
      <x:c r="C2" s="14" t="str">
        <x:v>https://enam.gov.in/web/commodity/commodity-list</x:v>
      </x:c>
    </x:row>
    <x:row r="3">
      <x:c r="A3" s="14" t="str">
        <x:v>Horticulture production / crop stats</x:v>
      </x:c>
      <x:c r="B3" s="14" t="str">
        <x:v>National Horticulture Board Area Production Statistics</x:v>
      </x:c>
      <x:c r="C3" s="14" t="str">
        <x:v>https://nhb.gov.in/Statistics.aspx?enc=WkegdyuHokljEtehnJoq0KWLU79sOQCy+W4MfOk01GFOWQSEvtp9tNHHoiv3p49g</x:v>
      </x:c>
    </x:row>
    <x:row r="4">
      <x:c r="A4" s="14" t="str">
        <x:v>Horticulture estimates</x:v>
      </x:c>
      <x:c r="B4" s="14" t="str">
        <x:v>Ministry of Agriculture &amp; Farmers Welfare Horticulture Estimates</x:v>
      </x:c>
      <x:c r="C4" s="14" t="str">
        <x:v>https://agriwelfare.gov.in/en/StatHortEst</x:v>
      </x:c>
    </x:row>
    <x:row r="5">
      <x:c r="A5" s="14" t="str">
        <x:v>Fruits and vegetables export / production context</x:v>
      </x:c>
      <x:c r="B5" s="14" t="str">
        <x:v>APEDA Fresh Fruits &amp; Vegetables</x:v>
      </x:c>
      <x:c r="C5" s="14" t="str">
        <x:v>https://apeda.gov.in/FreshFruitsAndVegetables</x:v>
      </x:c>
    </x:row>
    <x:row r="6">
      <x:c r="A6" s="14" t="str">
        <x:v>Horticulture crop clusters with districts</x:v>
      </x:c>
      <x:c r="B6" s="14" t="str">
        <x:v>PIB / NHB Cluster Development Programme pilot clusters</x:v>
      </x:c>
      <x:c r="C6" s="14" t="str">
        <x:v>https://www.pib.gov.in/PressReleasePage.aspx?PRID=1814891</x:v>
      </x:c>
    </x:row>
    <x:row r="7">
      <x:c r="A7" s="14" t="str">
        <x:v>Spice production state-wise source</x:v>
      </x:c>
      <x:c r="B7" s="14" t="str">
        <x:v>Spices Board major spice state-wise area production</x:v>
      </x:c>
      <x:c r="C7" s="14" t="str">
        <x:v>https://www.indianspices.com/sites/default/files/Major%20spice%20state%20wise%20area%20production%202024-25%20web.pdf</x:v>
      </x:c>
    </x:row>
    <x:row r="8">
      <x:c r="A8" s="14" t="str">
        <x:v>Mango variety reference</x:v>
      </x:c>
      <x:c r="B8" s="14" t="str">
        <x:v>NHB Mango crop report</x:v>
      </x:c>
      <x:c r="C8" s="14" t="str">
        <x:v>https://nhb.gov.in/report_files/mango/mango.htm</x:v>
      </x:c>
    </x:row>
    <x:row r="9">
      <x:c r="A9" s="30" t="str">
        <x:v>Wholesale market price fields</x:v>
      </x:c>
      <x:c r="B9" s="30" t="str">
        <x:v>e-NAM Agmarknet Price Dashboard</x:v>
      </x:c>
      <x:c r="C9" s="30" t="str">
        <x:v>https://enam.gov.in/web/dashboard/agmarknet</x:v>
      </x:c>
    </x:row>
    <x:row r="10">
      <x:c r="A10" s="30" t="str">
        <x:v>Packaging types for fruits and vegetables</x:v>
      </x:c>
      <x:c r="B10" s="30" t="str">
        <x:v>SFAC Post-Harvest Handling Protocol for Fruits &amp; Vegetables</x:v>
      </x:c>
      <x:c r="C10" s="30" t="str">
        <x:v>https://sfacindia.com/UploadFile/Statistics/Draft-PHM-SOP-Fruits-and-Vegetables-24-May-2022.pdf</x:v>
      </x:c>
    </x:row>
    <x:row r="11">
      <x:c r="A11" s="30" t="str">
        <x:v>Packaging principles / rigid containers</x:v>
      </x:c>
      <x:c r="B11" s="30" t="str">
        <x:v>FAO Small-scale Postharvest Handling Practices, Chapter 4</x:v>
      </x:c>
      <x:c r="C11" s="30" t="str">
        <x:v>https://www.fao.org/4/ae075e/ae075e08.htm</x:v>
      </x:c>
    </x:row>
    <x:row r="12">
      <x:c r="A12" s="30" t="str">
        <x:v>Wholesale price unit reference</x:v>
      </x:c>
      <x:c r="B12" s="30" t="str">
        <x:v>Department of Consumer Affairs Price Monitoring System</x:v>
      </x:c>
      <x:c r="C12" s="30" t="str">
        <x:v>https://fcainfoweb.nic.in/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0" hidden="0" customWidth="1"/>
    <x:col min="3" max="3" width="24" hidden="0" customWidth="1"/>
    <x:col min="4" max="4" width="20" hidden="0" customWidth="1"/>
    <x:col min="5" max="5" width="20" hidden="0" customWidth="1"/>
    <x:col min="6" max="6" width="24" hidden="0" customWidth="1"/>
    <x:col min="7" max="7" width="42" hidden="0" customWidth="1"/>
  </x:cols>
  <x:sheetData>
    <x:row r="1">
      <x:c r="A1" s="33" t="str">
        <x:v>Wholesale valuation rulebook</x:v>
      </x:c>
      <x:c r="B1" t="str"/>
      <x:c r="C1" t="str"/>
      <x:c r="D1" t="str"/>
      <x:c r="E1" t="str"/>
      <x:c r="F1" t="str"/>
      <x:c r="G1" t="str"/>
    </x:row>
    <x:row r="2">
      <x:c r="A2" s="31" t="str">
        <x:v>Goal</x:v>
      </x:c>
      <x:c r="B2" s="31" t="str">
        <x:v>Store raw quote exactly as heard/seen, then compute a comparable normalized value.</x:v>
      </x:c>
      <x:c r="C2" s="31" t="str"/>
      <x:c r="D2" s="31" t="str"/>
      <x:c r="E2" s="31" t="str"/>
      <x:c r="F2" s="31" t="str"/>
      <x:c r="G2" s="31" t="str"/>
    </x:row>
    <x:row r="3">
      <x:c r="A3" s="31" t="str"/>
      <x:c r="B3" s="31" t="str"/>
      <x:c r="C3" s="31" t="str"/>
      <x:c r="D3" s="31" t="str"/>
      <x:c r="E3" s="31" t="str"/>
      <x:c r="F3" s="31" t="str"/>
      <x:c r="G3" s="31" t="str"/>
    </x:row>
    <x:row r="4" ht="28" customHeight="1">
      <x:c r="A4" s="34" t="str">
        <x:v>Quote Type</x:v>
      </x:c>
      <x:c r="B4" s="34" t="str">
        <x:v>Example Raw Price</x:v>
      </x:c>
      <x:c r="C4" s="34" t="str">
        <x:v>Example Qty / Net Weight</x:v>
      </x:c>
      <x:c r="D4" s="34" t="str">
        <x:v>Normalized Result</x:v>
      </x:c>
      <x:c r="E4" s="34" t="str">
        <x:v>Excel Formula</x:v>
      </x:c>
      <x:c r="F4" s="34" t="str">
        <x:v>Best Standard Unit</x:v>
      </x:c>
      <x:c r="G4" s="34" t="str">
        <x:v>Notes</x:v>
      </x:c>
    </x:row>
    <x:row r="5">
      <x:c r="A5" s="31" t="str">
        <x:v>Per kg quote</x:v>
      </x:c>
      <x:c r="B5" s="35" t="n">
        <x:v>40</x:v>
      </x:c>
      <x:c r="C5" s="35" t="n">
        <x:v>1</x:v>
      </x:c>
      <x:c r="D5" s="35" t="n">
        <x:f>B5/C5</x:f>
        <x:v>40</x:v>
      </x:c>
      <x:c r="E5" s="31" t="str">
        <x:v>=B5/C5</x:v>
      </x:c>
      <x:c r="F5" s="31" t="str">
        <x:v>₹/kg</x:v>
      </x:c>
      <x:c r="G5" s="31" t="str">
        <x:v>Use directly for most fresh produce.</x:v>
      </x:c>
    </x:row>
    <x:row r="6">
      <x:c r="A6" s="31" t="str">
        <x:v>Per quintal quote</x:v>
      </x:c>
      <x:c r="B6" s="35" t="n">
        <x:v>3000</x:v>
      </x:c>
      <x:c r="C6" s="35" t="n">
        <x:v>100</x:v>
      </x:c>
      <x:c r="D6" s="35" t="n">
        <x:f>B6/C6</x:f>
        <x:v>30</x:v>
      </x:c>
      <x:c r="E6" s="31" t="str">
        <x:v>=B6/C6</x:v>
      </x:c>
      <x:c r="F6" s="31" t="str">
        <x:v>₹/kg + ₹/quintal</x:v>
      </x:c>
      <x:c r="G6" s="31" t="str">
        <x:v>₹/kg = ₹/quintal ÷ 100.</x:v>
      </x:c>
    </x:row>
    <x:row r="7">
      <x:c r="A7" s="31" t="str">
        <x:v>Per crate/box quote</x:v>
      </x:c>
      <x:c r="B7" s="35" t="n">
        <x:v>800</x:v>
      </x:c>
      <x:c r="C7" s="35" t="n">
        <x:v>20</x:v>
      </x:c>
      <x:c r="D7" s="35" t="n">
        <x:f>B7/C7</x:f>
        <x:v>40</x:v>
      </x:c>
      <x:c r="E7" s="31" t="str">
        <x:v>=B7/C7</x:v>
      </x:c>
      <x:c r="F7" s="31" t="str">
        <x:v>₹/kg</x:v>
      </x:c>
      <x:c r="G7" s="31" t="str">
        <x:v>Use actual net kg, not guessed crate capacity.</x:v>
      </x:c>
    </x:row>
    <x:row r="8">
      <x:c r="A8" s="31" t="str">
        <x:v>Per bag quote</x:v>
      </x:c>
      <x:c r="B8" s="35" t="n">
        <x:v>1500</x:v>
      </x:c>
      <x:c r="C8" s="35" t="n">
        <x:v>50</x:v>
      </x:c>
      <x:c r="D8" s="35" t="n">
        <x:f>B8/C8</x:f>
        <x:v>30</x:v>
      </x:c>
      <x:c r="E8" s="31" t="str">
        <x:v>=B8/C8</x:v>
      </x:c>
      <x:c r="F8" s="31" t="str">
        <x:v>₹/kg + ₹/quintal</x:v>
      </x:c>
      <x:c r="G8" s="31" t="str">
        <x:v>Subtract tare if gross weight includes bag.</x:v>
      </x:c>
    </x:row>
    <x:row r="9">
      <x:c r="A9" s="31" t="str">
        <x:v>Per dozen quote</x:v>
      </x:c>
      <x:c r="B9" s="35" t="n">
        <x:v>120</x:v>
      </x:c>
      <x:c r="C9" s="35" t="n">
        <x:v>12</x:v>
      </x:c>
      <x:c r="D9" s="35" t="n">
        <x:f>B9/C9</x:f>
        <x:v>10</x:v>
      </x:c>
      <x:c r="E9" s="31" t="str">
        <x:v>=B9/C9</x:v>
      </x:c>
      <x:c r="F9" s="31" t="str">
        <x:v>₹/piece</x:v>
      </x:c>
      <x:c r="G9" s="31" t="str">
        <x:v>For bananas/coconut/count items; convert to kg only with sample weight.</x:v>
      </x:c>
    </x:row>
    <x:row r="10">
      <x:c r="A10" s="31" t="str">
        <x:v>Per bunch quote</x:v>
      </x:c>
      <x:c r="B10" s="35" t="n">
        <x:v>15</x:v>
      </x:c>
      <x:c r="C10" s="35" t="n">
        <x:v>1</x:v>
      </x:c>
      <x:c r="D10" s="35" t="n">
        <x:f>B10/C10</x:f>
        <x:v>15</x:v>
      </x:c>
      <x:c r="E10" s="31" t="str">
        <x:v>=B10/C10</x:v>
      </x:c>
      <x:c r="F10" s="31" t="str">
        <x:v>₹/bunch</x:v>
      </x:c>
      <x:c r="G10" s="31" t="str">
        <x:v>Leafy greens: bunch size varies too much to guess.</x:v>
      </x:c>
    </x:row>
    <x:row r="11">
      <x:c r="A11" s="31" t="str">
        <x:v>Per 100 leaves quote</x:v>
      </x:c>
      <x:c r="B11" s="35" t="n">
        <x:v>250</x:v>
      </x:c>
      <x:c r="C11" s="35" t="n">
        <x:v>100</x:v>
      </x:c>
      <x:c r="D11" s="35" t="n">
        <x:f>B11/C11*100</x:f>
        <x:v>250</x:v>
      </x:c>
      <x:c r="E11" s="31" t="str">
        <x:v>=B11/C11*100</x:v>
      </x:c>
      <x:c r="F11" s="31" t="str">
        <x:v>₹/100 leaves</x:v>
      </x:c>
      <x:c r="G11" s="31" t="str">
        <x:v>For paan/betel leaves.</x:v>
      </x:c>
    </x:row>
    <x:row r="12">
      <x:c r="A12" s="31" t="str"/>
      <x:c r="B12" s="31" t="str"/>
      <x:c r="C12" s="31" t="str"/>
      <x:c r="D12" s="31" t="str"/>
      <x:c r="E12" s="31" t="str"/>
      <x:c r="F12" s="31" t="str"/>
      <x:c r="G12" s="31" t="str"/>
    </x:row>
    <x:row r="13">
      <x:c r="A13" s="31" t="str">
        <x:v>Tare / net-weight example</x:v>
      </x:c>
      <x:c r="B13" s="31" t="str"/>
      <x:c r="C13" s="31" t="str"/>
      <x:c r="D13" s="31" t="str"/>
      <x:c r="E13" s="31" t="str"/>
      <x:c r="F13" s="31" t="str"/>
      <x:c r="G13" s="31" t="str"/>
    </x:row>
    <x:row r="14" ht="28" customHeight="1">
      <x:c r="A14" s="34" t="str">
        <x:v>Gross kg</x:v>
      </x:c>
      <x:c r="B14" s="34" t="str">
        <x:v>Tare kg</x:v>
      </x:c>
      <x:c r="C14" s="34" t="str">
        <x:v>Net kg</x:v>
      </x:c>
      <x:c r="D14" s="34" t="str">
        <x:v>Pack Price</x:v>
      </x:c>
      <x:c r="E14" s="34" t="str">
        <x:v>₹/kg</x:v>
      </x:c>
      <x:c r="F14" s="34" t="str">
        <x:v>₹/quintal</x:v>
      </x:c>
      <x:c r="G14" s="34" t="str">
        <x:v>Logic</x:v>
      </x:c>
    </x:row>
    <x:row r="15">
      <x:c r="A15" s="35" t="n">
        <x:v>50</x:v>
      </x:c>
      <x:c r="B15" s="35" t="n">
        <x:v>1.2</x:v>
      </x:c>
      <x:c r="C15" s="35" t="n">
        <x:f>A15-B15</x:f>
        <x:v>48.8</x:v>
      </x:c>
      <x:c r="D15" s="35" t="n">
        <x:v>1800</x:v>
      </x:c>
      <x:c r="E15" s="35" t="n">
        <x:f>D15/C15</x:f>
        <x:v>36.885245901639344</x:v>
      </x:c>
      <x:c r="F15" s="35" t="n">
        <x:f>E15*100</x:f>
        <x:v>3688.5245901639346</x:v>
      </x:c>
      <x:c r="G15" s="31" t="str">
        <x:v>Net kg = gross - tare; ₹/kg = pack price ÷ net kg.</x:v>
      </x:c>
    </x:row>
    <x:row r="16">
      <x:c r="A16" s="31" t="str"/>
      <x:c r="B16" s="31" t="str"/>
      <x:c r="C16" s="31" t="str"/>
      <x:c r="D16" s="31" t="str"/>
      <x:c r="E16" s="31" t="str"/>
      <x:c r="F16" s="31" t="str"/>
      <x:c r="G16" s="31" t="str"/>
    </x:row>
    <x:row r="17" ht="28" customHeight="1">
      <x:c r="A17" s="34" t="str">
        <x:v>Fields to capture from YouTube / mandi source</x:v>
      </x:c>
      <x:c r="B17" s="34" t="str">
        <x:v>commodity</x:v>
      </x:c>
      <x:c r="C17" s="34" t="str">
        <x:v>variety/grade</x:v>
      </x:c>
      <x:c r="D17" s="34" t="str">
        <x:v>pack type</x:v>
      </x:c>
      <x:c r="E17" s="34" t="str">
        <x:v>raw price</x:v>
      </x:c>
      <x:c r="F17" s="34" t="str">
        <x:v>raw unit</x:v>
      </x:c>
      <x:c r="G17" s="34" t="str">
        <x:v>pack weight/count</x:v>
      </x:c>
    </x:row>
    <x:row r="18">
      <x:c r="A18" s="31" t="str">
        <x:v>Recommended computed fields</x:v>
      </x:c>
      <x:c r="B18" s="31" t="str">
        <x:v>net_weight_kg</x:v>
      </x:c>
      <x:c r="C18" s="31" t="str">
        <x:v>normalized_price_per_kg</x:v>
      </x:c>
      <x:c r="D18" s="31" t="str">
        <x:v>normalized_price_per_quintal</x:v>
      </x:c>
      <x:c r="E18" s="31" t="str">
        <x:v>piece_rate</x:v>
      </x:c>
      <x:c r="F18" s="31" t="str">
        <x:v>confidence</x:v>
      </x:c>
      <x:c r="G18" s="31" t="str">
        <x:v>notes</x:v>
      </x:c>
    </x:row>
  </x:sheetData>
  <x:mergeCells>
    <x:mergeCell ref="A1:G1"/>
  </x:mergeCells>
  <x:pageMargins left="0.7" right="0.7" top="0.75" bottom="0.75" header="0.3" footer="0.3"/>
</x:worksheet>
</file>